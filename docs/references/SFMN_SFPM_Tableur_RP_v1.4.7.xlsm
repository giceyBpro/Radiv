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deni\Desktop\"/>
    </mc:Choice>
  </mc:AlternateContent>
  <xr:revisionPtr revIDLastSave="0" documentId="13_ncr:1_{48463EF7-1F21-4364-B296-388D4136743B}" xr6:coauthVersionLast="36" xr6:coauthVersionMax="36" xr10:uidLastSave="{00000000-0000-0000-0000-000000000000}"/>
  <bookViews>
    <workbookView xWindow="0" yWindow="0" windowWidth="25200" windowHeight="10830" tabRatio="500" xr2:uid="{00000000-000D-0000-FFFF-FFFF00000000}"/>
  </bookViews>
  <sheets>
    <sheet name="Présentation" sheetId="1" r:id="rId1"/>
    <sheet name="Radiopharmaceutiques" sheetId="2" r:id="rId2"/>
  </sheets>
  <functionGroups builtInGroupCount="19"/>
  <definedNames>
    <definedName name="Nom">Radiopharmaceutiques!$A$3:$A$11</definedName>
    <definedName name="_xlnm.Print_Area" localSheetId="0">Présentation!$A$1:$F$33</definedName>
  </definedNames>
  <calcPr calcId="191029"/>
</workbook>
</file>

<file path=xl/calcChain.xml><?xml version="1.0" encoding="utf-8"?>
<calcChain xmlns="http://schemas.openxmlformats.org/spreadsheetml/2006/main">
  <c r="F10" i="1" l="1"/>
  <c r="E20" i="1" l="1"/>
  <c r="E19" i="1"/>
  <c r="A19" i="1"/>
  <c r="A20" i="1"/>
  <c r="K17" i="2" l="1"/>
  <c r="F12" i="1" l="1"/>
  <c r="F33" i="1" l="1"/>
  <c r="I18" i="2" l="1"/>
  <c r="I17" i="2"/>
  <c r="J18" i="2"/>
  <c r="J17" i="2"/>
  <c r="F34" i="1" l="1"/>
  <c r="D9" i="1" l="1"/>
  <c r="F19" i="1" l="1"/>
  <c r="A14" i="1"/>
  <c r="E3" i="1" l="1"/>
  <c r="I32" i="2"/>
  <c r="I30" i="2"/>
  <c r="I28" i="2"/>
  <c r="I26" i="2"/>
  <c r="I33" i="2"/>
  <c r="B12" i="2"/>
  <c r="B10" i="2"/>
  <c r="B9" i="2"/>
  <c r="B8" i="2"/>
  <c r="B6" i="2"/>
  <c r="F22" i="1"/>
  <c r="F23" i="1" l="1"/>
  <c r="H27" i="2"/>
  <c r="H30" i="2"/>
  <c r="H26" i="2"/>
  <c r="H31" i="2"/>
  <c r="H29" i="2"/>
  <c r="H32" i="2"/>
  <c r="H34" i="2"/>
  <c r="I21" i="2"/>
  <c r="H28" i="2"/>
  <c r="H33" i="2"/>
  <c r="H43" i="2" l="1"/>
  <c r="I43" i="2" s="1"/>
  <c r="H44" i="2"/>
  <c r="I44" i="2" s="1"/>
  <c r="H47" i="2"/>
  <c r="H40" i="2"/>
  <c r="I41" i="2" s="1"/>
  <c r="H45" i="2"/>
  <c r="I45" i="2" s="1"/>
  <c r="H46" i="2"/>
  <c r="I46" i="2" s="1"/>
  <c r="J44" i="2" l="1"/>
  <c r="E30" i="1" s="1"/>
  <c r="J41" i="2"/>
  <c r="E27" i="1" s="1"/>
  <c r="J43" i="2"/>
  <c r="E29" i="1" s="1"/>
  <c r="I47" i="2"/>
  <c r="J47" i="2" s="1"/>
  <c r="E33" i="1" s="1"/>
  <c r="J46" i="2"/>
  <c r="E32" i="1" s="1"/>
  <c r="J45" i="2"/>
  <c r="E31" i="1" s="1"/>
  <c r="I40" i="2"/>
  <c r="I42" i="2"/>
  <c r="J42" i="2" l="1"/>
  <c r="E28" i="1" s="1"/>
  <c r="J40" i="2"/>
  <c r="E26" i="1" s="1"/>
</calcChain>
</file>

<file path=xl/sharedStrings.xml><?xml version="1.0" encoding="utf-8"?>
<sst xmlns="http://schemas.openxmlformats.org/spreadsheetml/2006/main" count="121" uniqueCount="103">
  <si>
    <t>établi le</t>
  </si>
  <si>
    <t>Eléments obligatoires à préciser (en jaune)</t>
  </si>
  <si>
    <t>PSMA-177Lu</t>
  </si>
  <si>
    <t>Débit de dose à 1m (µSv/h) en sortie de chambre</t>
  </si>
  <si>
    <t>Eléments optionnels (en bleu)</t>
  </si>
  <si>
    <t>Scénario utilisateur (éventuel)</t>
  </si>
  <si>
    <t>Temps (h)</t>
  </si>
  <si>
    <t>Distance (m)</t>
  </si>
  <si>
    <t>Durée à la distance X</t>
  </si>
  <si>
    <t>Limite dosimétrique (mSv)</t>
  </si>
  <si>
    <t>Période effective retenue en jours :</t>
  </si>
  <si>
    <t>Période effective retenue en heures :</t>
  </si>
  <si>
    <t>Scénario</t>
  </si>
  <si>
    <t>Durée restriction (jours)</t>
  </si>
  <si>
    <t>Conditions</t>
  </si>
  <si>
    <t>Contact avec le (la) conjoint(e) &gt; 60 ans</t>
  </si>
  <si>
    <t xml:space="preserve">8 h à 0,3 m et 3 h à 1 m,
 limite 15 mSv </t>
  </si>
  <si>
    <t>Contact avec le (la) conjoint(e) &lt; 60 ans</t>
  </si>
  <si>
    <t xml:space="preserve">8 h à 0,3 m et 3 h à 1 m, 
limite 3 mSv </t>
  </si>
  <si>
    <t>Contact avec la conjointe enceinte</t>
  </si>
  <si>
    <t xml:space="preserve">8 h à 0,3 m et 3 h à 1 m,
 limite 1 mSv </t>
  </si>
  <si>
    <t>Transport en commun</t>
  </si>
  <si>
    <t xml:space="preserve">3 h à 0,5 m, limite 1 mSv </t>
  </si>
  <si>
    <t>Contact avec un enfant (&lt;3 ans) 
  au retour à la maison</t>
  </si>
  <si>
    <t xml:space="preserve">9 h à 1 m, limite 1 mSv </t>
  </si>
  <si>
    <t>Contact avec un enfant (entre 3 et 11 ans)
  au retour à la maison</t>
  </si>
  <si>
    <t xml:space="preserve">2 h à 0,5 m et 2 h à 1 m, 
limite 1 mSv </t>
  </si>
  <si>
    <t>Contact avec des collègues de travail</t>
  </si>
  <si>
    <t xml:space="preserve">6 h à 1 m, limite 1 mSv </t>
  </si>
  <si>
    <t>Scénario utilisateur</t>
  </si>
  <si>
    <t>Radiopharmaceutique</t>
  </si>
  <si>
    <t>Periode effective en heure</t>
  </si>
  <si>
    <t>Reference</t>
  </si>
  <si>
    <t>Remarque</t>
  </si>
  <si>
    <t>Iode-131-0%-fixation</t>
  </si>
  <si>
    <t>Iode-131-5%-fixation</t>
  </si>
  <si>
    <t>en considérant la période au niveau de la thyroïde</t>
  </si>
  <si>
    <t>Iode-131-25%-fixation</t>
  </si>
  <si>
    <t>Radium-223</t>
  </si>
  <si>
    <t>Demi vie physique</t>
  </si>
  <si>
    <t>EANM procedure guidelines for radionuclide therapy with 177Lu-labelled PSMA-ligands  2019</t>
  </si>
  <si>
    <t>Valeur la plus longue proposée</t>
  </si>
  <si>
    <t>Description scénario</t>
  </si>
  <si>
    <t>Synovectomie-90Y</t>
  </si>
  <si>
    <t>EANM Procedure Guidelines for Radiosynovectomy 2003</t>
  </si>
  <si>
    <t>Contact avec le (la) conjoint(e)</t>
  </si>
  <si>
    <t>Si age &gt; 60 ans</t>
  </si>
  <si>
    <t>Synovectomie-186Re</t>
  </si>
  <si>
    <t>Si age &lt; 60 ans</t>
  </si>
  <si>
    <t>Synovectomie-169Er</t>
  </si>
  <si>
    <t>Contact conjointe enceinte</t>
  </si>
  <si>
    <t>Microsphères-90Y</t>
  </si>
  <si>
    <t>EANM procedure guideline for the treatment of liver cancer and liver metastases with intra-arterial radioactive compounds 2011</t>
  </si>
  <si>
    <t>Lipiodol-131I</t>
  </si>
  <si>
    <t>Lutétium-177 NET</t>
  </si>
  <si>
    <t>Fitschen et al, Z Med Phys 2011, Levart et al, EJNMMI Phys 2019</t>
  </si>
  <si>
    <t>Demi vie effective</t>
  </si>
  <si>
    <t>Contact avec un enfant (&lt;3 ans) au retour à la maison</t>
  </si>
  <si>
    <t>MIBG-131I</t>
  </si>
  <si>
    <t>Contact avec un enfant (entre 3 et 11 ans) au retour à la maison</t>
  </si>
  <si>
    <t>Non défini</t>
  </si>
  <si>
    <t>Scénario distance 1</t>
  </si>
  <si>
    <t>Scénario distance 2</t>
  </si>
  <si>
    <t>Facteur commun</t>
  </si>
  <si>
    <t>Paramètre commun</t>
  </si>
  <si>
    <t>Facteur k</t>
  </si>
  <si>
    <t>Dénominateur</t>
  </si>
  <si>
    <t>Ratio</t>
  </si>
  <si>
    <t>Jour</t>
  </si>
  <si>
    <t>Durée à 1 m (valeur non nulle obligatoire)</t>
  </si>
  <si>
    <t>Calcul de durée de restriction des contacts</t>
  </si>
  <si>
    <t>après radiothérapie interne vectorisée  RIV</t>
  </si>
  <si>
    <t>Nom</t>
  </si>
  <si>
    <t>Prénom</t>
  </si>
  <si>
    <t>Né-e le</t>
  </si>
  <si>
    <t>Opérateur</t>
  </si>
  <si>
    <t>Date du traitement</t>
  </si>
  <si>
    <t>Appareillage</t>
  </si>
  <si>
    <t>Cancer opéré</t>
  </si>
  <si>
    <t>Cancer poly-métastasé</t>
  </si>
  <si>
    <t>Cancer oligo-métastasé</t>
  </si>
  <si>
    <t>Notice d'utilisation</t>
  </si>
  <si>
    <t>Poids (en kg):</t>
  </si>
  <si>
    <t>Sexe (F/M/I):</t>
  </si>
  <si>
    <t>IMC (kg/m²):</t>
  </si>
  <si>
    <t>Heure de mesure du taux de fixation (h):</t>
  </si>
  <si>
    <t>Données annexes (facultatives pour sauvegarde):</t>
  </si>
  <si>
    <t>Pathologie Bénigne</t>
  </si>
  <si>
    <t>Situation clinique typique</t>
  </si>
  <si>
    <t>Iode-131-Bénin</t>
  </si>
  <si>
    <t>Mise à disposition par SFPM et SFMN</t>
  </si>
  <si>
    <t>Commentaire libre:</t>
  </si>
  <si>
    <t>Nuclear Medicine Communications 2006, 27:559–566</t>
  </si>
  <si>
    <t>Nucl. Med. Commun. 16 (1995) 767–772</t>
  </si>
  <si>
    <t>un peu plus longue chez l'adulte que chez l'enfant</t>
  </si>
  <si>
    <t>Radioprotection 2004 Vol. 39, n° 4, pages 481 à 492     DOI: 10.1051/radiopro:2004012</t>
  </si>
  <si>
    <t>Attention: ce tableur ne tient compte que de l'exposition externe aux rayonnements ionisants. Les risques de contamination (externe et interne) doivent être gérés conformement aux recommandations.</t>
  </si>
  <si>
    <t>O:\MEDECINE-NUCLEAIRE\O. RIV radiothérapie interne vectorisée\Duree Eviction RIV\Logo CHAL.png</t>
  </si>
  <si>
    <t>BD</t>
  </si>
  <si>
    <t>Berthold</t>
  </si>
  <si>
    <t>Version 1.4.5 du 30/01/2024</t>
  </si>
  <si>
    <t>Radiopharmaceutique (menu déroulant)</t>
  </si>
  <si>
    <t>Taille du patient(e)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</si>
</sst>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&quot;, &quot;mmmm\ dd&quot;, &quot;yyyy"/>
    <numFmt numFmtId="165" formatCode="h:mm;@"/>
  </numFmts>
  <fonts count="21" x14ac:knownFonts="1">
    <font>
      <sz val="11"/>
      <color rgb="FF000000"/>
      <name val="Calibri"/>
      <family val="2"/>
      <charset val="1"/>
    </font>
    <font>
      <b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/>
      <sz val="10"/>
      <color rgb="FF000000"/>
      <name val="Arial Narrow"/>
      <family val="2"/>
      <charset val="1"/>
    </font>
    <font>
      <b/>
      <i/>
      <sz val="10"/>
      <color rgb="FF000000"/>
      <name val="Arial Narrow"/>
      <family val="2"/>
      <charset val="1"/>
    </font>
    <font>
      <b/>
      <sz val="14"/>
      <color rgb="FF000000"/>
      <name val="Arial Narrow"/>
      <family val="2"/>
      <charset val="1"/>
    </font>
    <font>
      <sz val="11"/>
      <color rgb="FF333333"/>
      <name val="Calibri"/>
      <family val="2"/>
      <charset val="1"/>
    </font>
    <font>
      <i/>
      <sz val="10"/>
      <color theme="0"/>
      <name val="Arial Narrow"/>
      <family val="2"/>
      <charset val="1"/>
    </font>
    <font>
      <u/>
      <sz val="11"/>
      <color theme="10"/>
      <name val="Calibri"/>
      <family val="2"/>
      <charset val="1"/>
    </font>
    <font>
      <sz val="9"/>
      <color rgb="FF000000"/>
      <name val="Calibri"/>
      <family val="2"/>
      <charset val="1"/>
    </font>
    <font>
      <sz val="11"/>
      <color theme="0"/>
      <name val="Calibri"/>
      <family val="2"/>
      <charset val="1"/>
    </font>
    <font>
      <b/>
      <sz val="11"/>
      <color theme="0"/>
      <name val="Calibri"/>
      <family val="2"/>
      <charset val="1"/>
    </font>
    <font>
      <i/>
      <sz val="11"/>
      <color theme="0"/>
      <name val="Calibri"/>
      <family val="2"/>
      <charset val="1"/>
    </font>
    <font>
      <b/>
      <sz val="10"/>
      <color rgb="FF000000"/>
      <name val="Arial Narrow"/>
      <family val="2"/>
    </font>
    <font>
      <sz val="11"/>
      <color rgb="FFFF0000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3F3F76"/>
      <name val="Calibri"/>
      <family val="2"/>
      <scheme val="minor"/>
    </font>
    <font>
      <b/>
      <sz val="8"/>
      <color theme="0"/>
      <name val="Arial Narrow"/>
      <family val="2"/>
      <charset val="1"/>
    </font>
    <font>
      <sz val="11"/>
      <color rgb="FF0070C0"/>
      <name val="Calibri"/>
      <family val="2"/>
      <charset val="1"/>
    </font>
    <font>
      <b/>
      <sz val="8"/>
      <color rgb="FF000000"/>
      <name val="Arial Narrow"/>
      <family val="2"/>
    </font>
    <font>
      <sz val="9"/>
      <color rgb="FF000000"/>
      <name val="Arial Narrow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  <fill>
      <patternFill patternType="solid">
        <fgColor rgb="FFFFFFFF"/>
        <bgColor rgb="FFFFFFCC"/>
      </patternFill>
    </fill>
    <fill>
      <patternFill patternType="solid">
        <fgColor rgb="FFDBEEF4"/>
        <bgColor rgb="FFCCFFFF"/>
      </patternFill>
    </fill>
    <fill>
      <patternFill patternType="solid">
        <fgColor rgb="FFFFC000"/>
        <bgColor rgb="FFFF9900"/>
      </patternFill>
    </fill>
    <fill>
      <patternFill patternType="solid">
        <fgColor rgb="FFC3D69B"/>
        <bgColor rgb="FFC4E59F"/>
      </patternFill>
    </fill>
    <fill>
      <patternFill patternType="solid">
        <fgColor rgb="FF92D050"/>
        <bgColor rgb="FFC3D69B"/>
      </patternFill>
    </fill>
    <fill>
      <patternFill patternType="solid">
        <fgColor rgb="FFD7E4BD"/>
        <bgColor rgb="FFC4E59F"/>
      </patternFill>
    </fill>
    <fill>
      <patternFill patternType="solid">
        <fgColor rgb="FFC4E59F"/>
        <bgColor rgb="FFC3D69B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CFFFF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6" fillId="10" borderId="18" applyNumberFormat="0" applyAlignment="0" applyProtection="0"/>
  </cellStyleXfs>
  <cellXfs count="109">
    <xf numFmtId="0" fontId="0" fillId="0" borderId="0" xfId="0"/>
    <xf numFmtId="0" fontId="2" fillId="0" borderId="0" xfId="0" applyFont="1"/>
    <xf numFmtId="0" fontId="2" fillId="0" borderId="1" xfId="0" applyFont="1" applyBorder="1" applyProtection="1">
      <protection hidden="1"/>
    </xf>
    <xf numFmtId="0" fontId="1" fillId="3" borderId="3" xfId="0" applyFont="1" applyFill="1" applyBorder="1" applyProtection="1">
      <protection hidden="1"/>
    </xf>
    <xf numFmtId="0" fontId="1" fillId="3" borderId="0" xfId="0" applyFont="1" applyFill="1" applyBorder="1" applyProtection="1">
      <protection hidden="1"/>
    </xf>
    <xf numFmtId="0" fontId="1" fillId="3" borderId="5" xfId="0" applyFont="1" applyFill="1" applyBorder="1" applyProtection="1">
      <protection hidden="1"/>
    </xf>
    <xf numFmtId="0" fontId="1" fillId="3" borderId="1" xfId="0" applyFont="1" applyFill="1" applyBorder="1" applyProtection="1">
      <protection hidden="1"/>
    </xf>
    <xf numFmtId="0" fontId="0" fillId="0" borderId="0" xfId="0" applyProtection="1">
      <protection hidden="1"/>
    </xf>
    <xf numFmtId="0" fontId="4" fillId="4" borderId="0" xfId="0" applyFont="1" applyFill="1" applyBorder="1" applyAlignment="1" applyProtection="1">
      <alignment horizontal="center"/>
      <protection locked="0"/>
    </xf>
    <xf numFmtId="0" fontId="4" fillId="5" borderId="9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Alignment="1" applyProtection="1">
      <alignment wrapText="1"/>
      <protection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1" fillId="5" borderId="0" xfId="0" applyFont="1" applyFill="1" applyAlignment="1" applyProtection="1">
      <alignment horizontal="right"/>
      <protection hidden="1"/>
    </xf>
    <xf numFmtId="2" fontId="1" fillId="5" borderId="0" xfId="0" applyNumberFormat="1" applyFont="1" applyFill="1" applyAlignment="1" applyProtection="1">
      <alignment horizontal="left"/>
      <protection hidden="1"/>
    </xf>
    <xf numFmtId="0" fontId="1" fillId="5" borderId="0" xfId="0" applyFont="1" applyFill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1" fillId="6" borderId="13" xfId="0" applyFont="1" applyFill="1" applyBorder="1" applyAlignment="1" applyProtection="1">
      <alignment horizontal="center" vertical="center"/>
      <protection hidden="1"/>
    </xf>
    <xf numFmtId="0" fontId="1" fillId="7" borderId="14" xfId="0" applyFont="1" applyFill="1" applyBorder="1" applyAlignment="1" applyProtection="1">
      <alignment horizontal="center" vertical="center" wrapText="1"/>
      <protection hidden="1"/>
    </xf>
    <xf numFmtId="0" fontId="2" fillId="6" borderId="15" xfId="0" applyFont="1" applyFill="1" applyBorder="1" applyAlignment="1" applyProtection="1">
      <alignment horizontal="center" vertical="center" wrapText="1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0" fontId="2" fillId="8" borderId="9" xfId="0" applyFont="1" applyFill="1" applyBorder="1" applyAlignment="1" applyProtection="1">
      <alignment horizontal="center" vertical="center" wrapText="1"/>
      <protection hidden="1"/>
    </xf>
    <xf numFmtId="0" fontId="1" fillId="6" borderId="8" xfId="0" applyFont="1" applyFill="1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0" fontId="2" fillId="6" borderId="9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/>
    <xf numFmtId="49" fontId="0" fillId="0" borderId="0" xfId="0" applyNumberFormat="1" applyFont="1"/>
    <xf numFmtId="2" fontId="0" fillId="0" borderId="0" xfId="0" applyNumberFormat="1" applyFont="1"/>
    <xf numFmtId="0" fontId="6" fillId="0" borderId="0" xfId="0" applyFont="1" applyAlignment="1">
      <alignment horizontal="left" vertical="center"/>
    </xf>
    <xf numFmtId="0" fontId="1" fillId="6" borderId="14" xfId="0" applyFont="1" applyFill="1" applyBorder="1" applyAlignment="1" applyProtection="1">
      <alignment horizontal="center"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6" borderId="0" xfId="0" applyFont="1" applyFill="1" applyBorder="1" applyAlignment="1" applyProtection="1">
      <alignment vertical="center"/>
      <protection hidden="1"/>
    </xf>
    <xf numFmtId="0" fontId="5" fillId="7" borderId="11" xfId="0" applyFont="1" applyFill="1" applyBorder="1" applyAlignment="1" applyProtection="1">
      <alignment horizontal="center" vertical="center"/>
      <protection hidden="1"/>
    </xf>
    <xf numFmtId="0" fontId="2" fillId="6" borderId="12" xfId="0" applyFont="1" applyFill="1" applyBorder="1" applyAlignment="1" applyProtection="1">
      <alignment horizontal="center" vertical="center" wrapText="1"/>
      <protection hidden="1"/>
    </xf>
    <xf numFmtId="0" fontId="3" fillId="3" borderId="8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" fillId="3" borderId="9" xfId="0" applyFont="1" applyFill="1" applyBorder="1" applyProtection="1">
      <protection hidden="1"/>
    </xf>
    <xf numFmtId="0" fontId="1" fillId="4" borderId="9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Protection="1">
      <protection hidden="1"/>
    </xf>
    <xf numFmtId="164" fontId="2" fillId="0" borderId="16" xfId="0" applyNumberFormat="1" applyFont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center" wrapText="1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18" fontId="8" fillId="2" borderId="4" xfId="1" applyNumberFormat="1" applyFill="1" applyBorder="1" applyAlignment="1" applyProtection="1">
      <alignment horizontal="center" vertical="center"/>
      <protection locked="0"/>
    </xf>
    <xf numFmtId="165" fontId="2" fillId="0" borderId="0" xfId="0" applyNumberFormat="1" applyFont="1" applyFill="1" applyBorder="1" applyAlignment="1" applyProtection="1">
      <alignment horizontal="right" vertical="center"/>
      <protection hidden="1"/>
    </xf>
    <xf numFmtId="164" fontId="2" fillId="0" borderId="17" xfId="0" applyNumberFormat="1" applyFont="1" applyBorder="1" applyAlignment="1" applyProtection="1">
      <alignment horizontal="left" vertical="center"/>
      <protection locked="0"/>
    </xf>
    <xf numFmtId="0" fontId="8" fillId="2" borderId="4" xfId="1" applyFill="1" applyBorder="1" applyAlignment="1" applyProtection="1">
      <alignment horizontal="center"/>
      <protection locked="0"/>
    </xf>
    <xf numFmtId="0" fontId="8" fillId="2" borderId="6" xfId="1" applyFill="1" applyBorder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64" fontId="2" fillId="0" borderId="3" xfId="0" applyNumberFormat="1" applyFont="1" applyBorder="1" applyAlignment="1" applyProtection="1">
      <alignment horizontal="left" vertical="center"/>
      <protection hidden="1"/>
    </xf>
    <xf numFmtId="164" fontId="2" fillId="0" borderId="4" xfId="0" applyNumberFormat="1" applyFont="1" applyBorder="1" applyAlignment="1" applyProtection="1">
      <alignment horizontal="left" vertical="center"/>
      <protection locked="0"/>
    </xf>
    <xf numFmtId="0" fontId="12" fillId="3" borderId="0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10" fillId="0" borderId="0" xfId="0" applyFont="1" applyBorder="1" applyProtection="1">
      <protection hidden="1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3" borderId="0" xfId="0" applyFont="1" applyFill="1" applyBorder="1" applyAlignment="1" applyProtection="1">
      <alignment vertical="center" wrapText="1"/>
      <protection hidden="1"/>
    </xf>
    <xf numFmtId="0" fontId="10" fillId="3" borderId="0" xfId="0" applyFont="1" applyFill="1" applyBorder="1" applyAlignment="1" applyProtection="1">
      <alignment wrapText="1"/>
      <protection hidden="1"/>
    </xf>
    <xf numFmtId="14" fontId="13" fillId="0" borderId="1" xfId="0" applyNumberFormat="1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13" fillId="0" borderId="6" xfId="0" applyFont="1" applyBorder="1" applyAlignment="1" applyProtection="1">
      <alignment horizontal="left" vertical="center"/>
      <protection locked="0"/>
    </xf>
    <xf numFmtId="0" fontId="11" fillId="3" borderId="0" xfId="0" applyFont="1" applyFill="1" applyBorder="1" applyAlignment="1" applyProtection="1">
      <alignment horizontal="center"/>
      <protection hidden="1"/>
    </xf>
    <xf numFmtId="0" fontId="14" fillId="0" borderId="0" xfId="0" applyFont="1" applyBorder="1"/>
    <xf numFmtId="0" fontId="4" fillId="4" borderId="11" xfId="0" applyFont="1" applyFill="1" applyBorder="1" applyAlignment="1" applyProtection="1">
      <alignment horizontal="center"/>
      <protection locked="0"/>
    </xf>
    <xf numFmtId="0" fontId="4" fillId="5" borderId="12" xfId="0" applyFont="1" applyFill="1" applyBorder="1" applyAlignment="1" applyProtection="1">
      <alignment horizontal="center" vertical="center"/>
      <protection hidden="1"/>
    </xf>
    <xf numFmtId="0" fontId="7" fillId="0" borderId="0" xfId="0" applyFont="1" applyBorder="1" applyProtection="1">
      <protection hidden="1"/>
    </xf>
    <xf numFmtId="164" fontId="2" fillId="0" borderId="5" xfId="0" applyNumberFormat="1" applyFont="1" applyBorder="1" applyAlignment="1" applyProtection="1">
      <alignment horizontal="left" vertical="center"/>
      <protection hidden="1"/>
    </xf>
    <xf numFmtId="164" fontId="2" fillId="0" borderId="6" xfId="0" applyNumberFormat="1" applyFont="1" applyBorder="1" applyAlignment="1" applyProtection="1">
      <alignment horizontal="left" vertical="center"/>
      <protection locked="0"/>
    </xf>
    <xf numFmtId="0" fontId="16" fillId="10" borderId="18" xfId="2" applyProtection="1">
      <protection locked="0"/>
    </xf>
    <xf numFmtId="0" fontId="9" fillId="0" borderId="0" xfId="0" applyFont="1" applyProtection="1">
      <protection hidden="1"/>
    </xf>
    <xf numFmtId="0" fontId="0" fillId="0" borderId="0" xfId="0" applyFont="1" applyAlignment="1">
      <alignment wrapText="1"/>
    </xf>
    <xf numFmtId="0" fontId="8" fillId="0" borderId="0" xfId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left" vertical="center"/>
      <protection hidden="1"/>
    </xf>
    <xf numFmtId="0" fontId="19" fillId="0" borderId="5" xfId="0" applyFont="1" applyBorder="1" applyAlignment="1" applyProtection="1">
      <alignment horizontal="left" vertical="center"/>
      <protection hidden="1"/>
    </xf>
    <xf numFmtId="0" fontId="19" fillId="0" borderId="3" xfId="0" applyFont="1" applyBorder="1" applyAlignment="1" applyProtection="1">
      <alignment horizontal="left" vertical="center"/>
      <protection hidden="1"/>
    </xf>
    <xf numFmtId="0" fontId="7" fillId="0" borderId="14" xfId="0" applyFont="1" applyBorder="1" applyProtection="1">
      <protection hidden="1"/>
    </xf>
    <xf numFmtId="0" fontId="13" fillId="12" borderId="0" xfId="0" applyFont="1" applyFill="1" applyBorder="1" applyAlignment="1" applyProtection="1">
      <alignment horizontal="center" vertical="center"/>
      <protection locked="0"/>
    </xf>
    <xf numFmtId="0" fontId="18" fillId="0" borderId="8" xfId="0" applyFont="1" applyBorder="1" applyAlignment="1">
      <alignment wrapText="1"/>
    </xf>
    <xf numFmtId="0" fontId="0" fillId="0" borderId="0" xfId="0" applyAlignment="1">
      <alignment wrapText="1"/>
    </xf>
    <xf numFmtId="0" fontId="19" fillId="11" borderId="0" xfId="0" applyFont="1" applyFill="1" applyBorder="1" applyAlignment="1">
      <alignment horizontal="left"/>
    </xf>
    <xf numFmtId="0" fontId="1" fillId="8" borderId="8" xfId="0" applyFont="1" applyFill="1" applyBorder="1" applyAlignment="1" applyProtection="1">
      <alignment vertical="center" wrapText="1"/>
      <protection hidden="1"/>
    </xf>
    <xf numFmtId="0" fontId="1" fillId="8" borderId="0" xfId="0" applyFont="1" applyFill="1" applyBorder="1" applyAlignment="1" applyProtection="1">
      <alignment vertical="center" wrapText="1"/>
      <protection hidden="1"/>
    </xf>
    <xf numFmtId="0" fontId="1" fillId="6" borderId="10" xfId="0" applyFont="1" applyFill="1" applyBorder="1" applyAlignment="1" applyProtection="1">
      <alignment vertical="center" wrapText="1"/>
      <protection hidden="1"/>
    </xf>
    <xf numFmtId="0" fontId="1" fillId="6" borderId="11" xfId="0" applyFont="1" applyFill="1" applyBorder="1" applyAlignment="1" applyProtection="1">
      <alignment vertical="center" wrapText="1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0" fontId="1" fillId="4" borderId="15" xfId="0" applyFont="1" applyFill="1" applyBorder="1" applyAlignment="1" applyProtection="1">
      <alignment horizontal="center"/>
      <protection hidden="1"/>
    </xf>
    <xf numFmtId="164" fontId="20" fillId="0" borderId="0" xfId="0" applyNumberFormat="1" applyFont="1" applyBorder="1" applyAlignment="1" applyProtection="1">
      <alignment horizontal="left" vertical="center"/>
      <protection hidden="1"/>
    </xf>
    <xf numFmtId="0" fontId="1" fillId="6" borderId="8" xfId="0" applyFont="1" applyFill="1" applyBorder="1" applyAlignment="1" applyProtection="1">
      <alignment vertical="center" wrapText="1"/>
      <protection hidden="1"/>
    </xf>
    <xf numFmtId="0" fontId="1" fillId="6" borderId="0" xfId="0" applyFont="1" applyFill="1" applyBorder="1" applyAlignment="1" applyProtection="1">
      <alignment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right"/>
      <protection hidden="1"/>
    </xf>
    <xf numFmtId="0" fontId="20" fillId="0" borderId="0" xfId="0" applyFont="1" applyBorder="1" applyAlignment="1" applyProtection="1">
      <alignment horizontal="right" vertical="center"/>
      <protection hidden="1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17" xfId="0" applyFont="1" applyBorder="1" applyAlignment="1" applyProtection="1">
      <alignment horizontal="left" vertical="center"/>
      <protection locked="0"/>
    </xf>
    <xf numFmtId="0" fontId="13" fillId="0" borderId="0" xfId="0" applyFont="1" applyBorder="1" applyAlignment="1" applyProtection="1">
      <alignment horizontal="left" vertical="center"/>
      <protection locked="0"/>
    </xf>
    <xf numFmtId="0" fontId="13" fillId="0" borderId="4" xfId="0" applyFont="1" applyBorder="1" applyAlignment="1" applyProtection="1">
      <alignment horizontal="left" vertical="center"/>
      <protection locked="0"/>
    </xf>
    <xf numFmtId="0" fontId="4" fillId="3" borderId="8" xfId="0" applyFont="1" applyFill="1" applyBorder="1" applyProtection="1">
      <protection hidden="1"/>
    </xf>
    <xf numFmtId="0" fontId="4" fillId="3" borderId="0" xfId="0" applyFont="1" applyFill="1" applyBorder="1" applyProtection="1">
      <protection hidden="1"/>
    </xf>
    <xf numFmtId="0" fontId="4" fillId="3" borderId="8" xfId="0" applyFont="1" applyFill="1" applyBorder="1" applyAlignment="1" applyProtection="1">
      <alignment wrapText="1"/>
      <protection hidden="1"/>
    </xf>
    <xf numFmtId="0" fontId="4" fillId="3" borderId="0" xfId="0" applyFont="1" applyFill="1" applyBorder="1" applyAlignment="1" applyProtection="1">
      <alignment wrapText="1"/>
      <protection hidden="1"/>
    </xf>
    <xf numFmtId="0" fontId="4" fillId="3" borderId="10" xfId="0" applyFont="1" applyFill="1" applyBorder="1" applyAlignment="1" applyProtection="1">
      <alignment wrapText="1"/>
      <protection hidden="1"/>
    </xf>
    <xf numFmtId="0" fontId="4" fillId="3" borderId="11" xfId="0" applyFont="1" applyFill="1" applyBorder="1" applyAlignment="1" applyProtection="1">
      <alignment wrapText="1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15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Border="1" applyAlignment="1" applyProtection="1">
      <alignment horizontal="center" vertical="center" wrapText="1"/>
      <protection hidden="1"/>
    </xf>
  </cellXfs>
  <cellStyles count="3">
    <cellStyle name="Entrée" xfId="2" builtinId="20"/>
    <cellStyle name="Lien hypertexte" xfId="1" builtinId="8"/>
    <cellStyle name="Normal" xfId="0" builtinId="0"/>
  </cellStyles>
  <dxfs count="2"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FFFFCC"/>
      <rgbColor rgb="FFDBEEF4"/>
      <rgbColor rgb="FF660066"/>
      <rgbColor rgb="FFFF8080"/>
      <rgbColor rgb="FF0066CC"/>
      <rgbColor rgb="FFC4E59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O:\MEDECINE-NUCLEAIRE\O.%20RIV%20radioth&#233;rapie%20interne%20vectoris&#233;e\Duree%20Eviction%20RIV\Logo%20CHAL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170205</xdr:colOff>
      <xdr:row>43</xdr:row>
      <xdr:rowOff>69493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1001240" cy="9310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1647285</xdr:colOff>
      <xdr:row>29</xdr:row>
      <xdr:rowOff>241378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6986160" cy="58935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304800</xdr:colOff>
      <xdr:row>21</xdr:row>
      <xdr:rowOff>104775</xdr:rowOff>
    </xdr:to>
    <xdr:sp macro="" textlink="">
      <xdr:nvSpPr>
        <xdr:cNvPr id="1026" name="AutoShape 2" descr="data:image/png;base64,iVBORw0KGgoAAAANSUhEUgAAANoAAABtCAYAAADH0n8WAAAABGdBTUEAALGPC/xhBQAAAAlwSFlzAAAOvAAADrwBlbxySQAATa9JREFUeF7tnQd4FFUXhlGx9+5vxQICghTpoFix9wIWrNgLiKJgBURRpIgIgiBKRxCRIghI7713AiEJvaUACZDM95/3zk6yrAESBETd83jczWZ2dpncd0699+bR4Sie/efZ//Yi/D7QDDQjw2l6eqDpWc95PUKD43fTsHMGGpWoHAg5PEADrAxPuwyOHbt2Ki3d19Qdadq1a1fooCy4MuzYAKZdu9K1047ZuRPdqR3oDnv/jh1Odzj1X3O/C1OO999nyjlMOZ8PqQ9qdhBGJSq5lb8HtBBYwJScnqbN6Vu1LiPFdKs2eNu0RduVpDQlZaQpcVuKdhosvIcB78O1y4ECSKlpadqemqrt29Ht2oZu266tYcrPToPfh9R/jynvT+MxzZ0vLS0MUGAMBzACvKhEJSdy6ECzMZmeka6tBtb69BTFZWzR0oyNWqANmuut0zxvrRZ667VMGxWvRK1Tiv1mu9YbeOu3blHa9jSl22B3gIXg2mqwbN26TckpKUpKTlFicrISk3bXLSGNfJ1jk5z67+UcySlblYJu2+YDGoJwN/js83eZBQT2wOoFli4KXlT2JAcfNLNc2wyuNenJWmZgzTGgpnmrNElxGufFapS3XCO9GPc43n6epVVa7GBL1lptdZrgJSsheaO2Jm91Vge4kgwMgNm8JVEbN2/Rhk2btX7jpmx13Yas5xs2bt5d7X0bN21x59iE2vnQLYlJ7vw+hAaffWYWfICXlmnxcHmBLupiRmVPctBAY8AlpW9XbPpmzc5YrUlenAG1XEO8pfrNW6Bfvbn6xbSvN0/9vfka5C3WCANuqhK00GxZvDmPmaAZdMu8TVqeuEabDQ4AAApAWbdho9as26DVa9dr1Zp12ejakPo/r16bpavc43p7P7pBa9H1vq63824wMDcaiHwWQDv4sIAGObA799NB51s638X0LR3QRS1dVAI58KA5wFIVk75JU714s1QxBtEig2qOunvT1cmbqh+9yepijz28mertzTbo5hl8CzXcW6aJZunmGl4rLFJbbe7jGlNcyaVm5bCGizYlaM2qtQ4GYElYvVbxq9YoLmG1Vsav2rcm7K68L27VaneOTF29RgnAaecHQj5r3fqNPnwBeCGLh8uJtSMGzITOLB0JFiyds3Ih6KLy35UDCtrOjF0u9prqJegPs1z9zGJ186apvTdBrbzR+tobqW+9MepgP3d2oM1QL2+W+thx/cyqDTbYRhhsU7yVmm9RGrBh2WINtCWApvV27lWas26FVi6PU3zCGsXGJ2hFXLxWrIzX8pVxIeV5oPZzbNbr/nFZys/u/WEaG5fgzhuAGAAI1MANfFhS3+3c7KydD525mObeYu1SzcVMA7gICxeV/6YcGNBs/GxL36GFGWvNgi1zgGG1Wnmj9Lk3WJ94v6mxPbbwhquNAQd4P3qTDLYpzrKhXQ1ILF5vs3K/GXSjzc2cYVAtMLiAjMdZZt+mmCM53tzQmQnLFLN0hQMjxkCKWbFSy0LK85hYX4PX3Ouh18Jf94+192eq/zNghkMYDl8mdOaKZkK3ziyeuZ5rEjdq7c4Ubdm+1YFHVhML57uUUdj+q/LXQbNxQyw2I2OVWaRFBsxUZ7kaegP0rtdb75h+5PVzoDXz/jD4RhpsY5xl4/Ebg/ErA7CpN1RfeL+riWkLO669N14/G3S4k5PNBZ2uVZpmyvNxWqlRGSs0feViLVuy3IGxbEWsli73lecBSMFr/utZgEUeG4AavJ4FaxaEWEYfPh86Z+3iTVeu0oq1FltuW+PcW24Mayyu3Lxrq7ZsM9fSgEszt5K6XdS6/TflL4NGRnG6DX6sWDuD4zOzXrW9Hnre+0Eve530ltdTH3q/mlUbaNYNkIY4mBp7gxyM73m/uGNe9zrbezroGa+d6Xd6xd77vtfHoB1h7uUMDfOWmJVboTGmZCmHWdQ2JH2xpscs0vIlKxwwkfCEg+O/HoCW/bG7vx685r8eHOfgC9zRGDs2bqVmJZM9jdFwxWiC3QTmWYwZa27vOm015LZpy65tStq21cVxO826RWH778lfAm1H+i7NMkvW1yAjBnvfoHnBYKnqtdJjXmu9aLDV8rqrrvezPvD6OuAAq473k4HVxYH1hPetHvRa6C6viW72Guk6r74qeR+rsj3e5X2hpwy89+z9rc3y9TTgfvXmGNTz3Gf20mz9smO2ZixbqBVLDapMKLIsVBYo4T+bZgtauKX782uos3TLYrVk2QrN2RSrYQZ7T3Nqf7LvRdJnvCE2x0Bbrs1mf1Nc1nS9wbZR2x1wydu3uYQJsAFaFLb/huw/aBlSTPpGl6bHVazj9TK4vtWt3me606ABtmcNpFcNKGB709SH63uDq43B9ZVu9xrreq+hynsf6BrvHV3tva1CXi0V8GrqSu8NFfZqq7RXT7d5n+tpA66uuaFNzRp+Y1aOWA+3s6VGqMP2MZq5ZLHiYkLxGmpWx2nI5ct8Lfh5Bc8BMmSd3PMsuLIDLWa5/WzWc/aKxRq1faG6a6a+MxvW0eLRn8zNHegtMIu73F5dZfZ2U6gWCGw+cFi4Dc7Cbde2UHsZHTJR+ffL/oFmYyN5V6pz4zp6E1XPXLyHvZaqaJaorEFTxfvUWSmsFbDVMLieNnfwUYPvXq+ZWa5P7diPVMogKmpwFfbeVH4D63LvNV3qvaJLvJeVz+lrusy0gP2uqPeWA/J2g66qfRYu5stmMd8weN9QF32+baDmxSzVqtjVLn5yyYuQZiYzwn52GmQdQ+pnJsPAdEAagPa4ImalFixaouErZqhb6iS1EfHlGH3njXOJn54GGpnT4d5STTFXmuTNcnMfVykpVKbY6tR/vs1+u1WJFsOl7dwhLz0K279d9gs07sJLdm2wgbVAX5l1IRYDnCvMEpXw3jUr1cC5gsAHXI94X+tuA+wWs3a4hdfYMUUMsIJmvQDsMu9VgwrAAn3VoHvdfv+mWbk6KunVtfeg9ez8dVXclNeLm/JaRe9DXacGqr21s3MJ1yWsV/zqtS4zmLA6VBcL1cYS1m3Qqk0GQGKKVifbwEeTkpWwcbPi16zTyoQwUOPjtdIeV5qlnLJorjrHj9KXqUP0hYaqhVlSkjnfWVz6g4FGxvRncx+pBxJDTvbizLFd4xIjQZlilVm4LPVrhBu8rUqxm1ZGRnro6kbl3yj7Bdr2XWluIPXwZqmRN9AsVzsH2MUGCdYJy3OLWS1gI8661Z4Te5Xx3nOA4B7mN5B8wF51cPFelOeXmhW70qDlWAC+1awYruZTZhVreB3NSnY0gNs5eG+wuK6U975zMy/R63oxpYPiDJRN67e4tLvr9LDH9SlmRZIMLrNYsRMmaknfvlrYtavmd+mshX36aNn48Yo393FtYpLWAh5dJAlrtdJcy0ErJunDTT/p5fROetsiQ5I4ZElxmduaRfverPoPoXIFdUPcSFzqId5ijTWrP81LcHXBGHMn4wy6hEzoUuy5D9wmb5tSM8y6RV3Jf6XkHjQbB+t2Jru79o82sD7wftF95iYWtxjrCoMHS1TSnl9rlutGi7+wboBX0kC8ymAg/sId9F1EXwPIskDDmtVyVuwmA6mq942L9T7y+qu5N8zFZiRfmnp/qL4GqqZ+UnW11+1qqmv0sZqm9VfypmQlbklSYmqatmzdpoSJEzW/WVNNeryaxt9RRaMrldWwa4rpt5JFNaB0CfW9rqIG3nOnxtf/SEtHj9ZGs3Rxmzao24bRuju1qa7OeFfX2rkfMuBxWUnQfGY3GUoWLQ24lmbZ+W5NvMFq7P3m6ofNXZlinHoZeEMNuoneSs01rGicXhmycrSXxZnynJLAlozt2ol1i/L2r5Jcg5aRnqFluzbawFnqal3Uyu4yy0JsVsTiKKxRYYOEJEZ5c+mwYrh4hVwc5lux7AALBw0QOb6MWao7zCoS533o9XWA/RCyHj9osjqJYvcU9dAMi9KmqsXWYaq9rpMeWPa5ei8brV0Z0uZly7Tgi8aa9ND9mnDHrZpw1+0af9dtGn/bzRp78/UaUbmiBlcqp37lSqlXyeLqVLiAul1TQiNr1dIvywbrKTt7JX1iVtO3xvwbiS1vMzf4CXcD+FFvez1Me7p40c+ktnbJoMft9y9YfMo1amYWkO9KrZG+T0oAJEwoA8QZZCuV6JTn682d3JoetW7/Jsk1aDTPztu1VoMsFqHoTM3sHq+5uYYNXbzkx1yvqahZL6wcA5MMIq8Rh13svRyh4aD5r11qMAJaOQP1Hq+pXrLBTHcJ8RAZvu8Nso4ZBpxZm6YTuuqtAS31RK8PVanVc7r8wzuV95USur/jB0ocO16zXntZU594VNOee1rTTac++bgmV3tYkx68z0E35qbKPmzXltevFcrqp3Kl1fma4mqfP7/a31hODYc10nsaonf0i0HV1VzWtqpi7nBZ+27FzUqXMnUxornGlCR4XtagLBWKKSvYz1W8xnrMoKvtddeXBlxXAw63ki6X+WJq0CYXx63QZqexlAa8JGfddkVjt3+F5Bo0Zj3P2bVGv2mBgTbWBk9PPWyD6DYbfBXMXSxqd32yh4CFGxm4kyRK8ru0fS2DqLZT4ir0KoPxKpd9fMspiRIG6Y0W2z1iluF1r5s+9Qa5DF9Hg+yH1PFqPaevnmpTTwUev17HlcmnIypdrDxVCytPNdOH8qvma48q5o03NLvma5r33ruaV+8dzXm7tma+/oqm13hGUww+rJxzI2+8TkMNtAEVy6lP+TLqVuYa/VC6pNoXLqzvC1+ljn2a2efOVQezpu3sO2BZP/N+V037tz9k//ZrzT2+2m4qBezmcEXophIoNx5c5jL276liVvBxs3ZvG3BfmVv5kzdDI8wzmGHALXTAbbY4brOrwaEAx2TY1PSdUVfyHy77BdpcA+13uyOTBHjf+9XcpR9dDY3kBHCUtzt7aXMly3gf2R2eOK2RbvE+Nxib6E6zUHebBbzXYp37TR80kBisD9sA9JXn39iAbOsSH7W9n/SxN8BlNzvIrNiOiWo5+Sfd/tEzOrlyfuW55HTlOfNE5TnnZOUpf5HBVlAP1bhNi19/VQvqvqPFX3ympS1baFmrr7S4SWPN/+A9za71ug/bY1U18d67NPaWGzT8ugrOqvU1q9a9bCl1MtA6WOz2XdEian+VwTa0tbmq881lneTS+Z3MKpFtJBnyid0ESNBg6bhBEF/6LvLLTrHQuM3cUMrZdbnDrgXlCYr4eAUU4cd5KzTb3MnF2uBiOJQZC8u8zYrPSFJSRqq5kuYLR+UfKfsF2sJd61w7VC9vtlra3b2RDTQSFe94Pzvr87LFKq/Y42umtb1eFqP87ID82I5pYC4gxzc2i/CFa8caZu7UHy6p0Nwbbo/0PfqvNTe4aExmMAMZbmO7RQN03yfP6/iKVyjP/05RnrNO8iE72/Tck1T8lmKa91ZNLX3/PS3+8gvFduyghJ97a9UvfRT74w9a0vxLzX+/nmaZZZv21BOa+NB9Gn97FY264VoNMdD6VSijngZaFwPt+1IGWqni+rZwIX1rzzvM6KHuBtuPFg9yk6GGSLwYNFC/YZbqbruRABOZVQALjz35mZogsR5ljvucW9zJrOMgl7HEnaSXk/gN4JgAy9y8xd4GxXqbtCE9RTvTo67kP1FyD1paqpbuWG/xRbwGZixQp4ypam8DjqkvxFD0O7Y1lxIXi59Rf1BOchbAf/SVARo83/01/3WO9dXejyVJHqt3ezfXOXcVV54LTzO4DLJzDTbUYDvGtJuBs+Jds2RNPjewOmrt0CHaPHWKNk+bqrV/DNPKLp20pNmXmle3jma88JyL10iOOPfRrFr/imXV2+I03MeOBld7i9e+LVlM3155pT6oUk41hjYxqzpe3TTLYsVJmcDxvVubdXrdYLvdLDcZU0oUlC/C49Ag2YPVIzt7k/eJxX2tVcfcUBqumbdHI8Asb5UrCbDUA8VvlnlYkr5Bq3YmGmxZCxZF5Z8huQYtLTVVy1LXW6SUoP677O5uoH2/GxQ+MOGPaDAgUZ7nSm1A/2Bofx87VPd+8qKOLPI/s2TmLgaQnXWC8px0pB4qfbWWm8uIexjzbWut7t9PiXPnKHXNGqWuW6vk+fO0ZvBvWv5dWy34+EPNfPUlTXn0EU2420+KDDPQBlYKi9OwYqZtDbRvSlytdlcVVklzVwu8eZcaTOusHprpYsbgewIbLu4L5krjQhOvYsUuMvfR1yzgABB3Muh4ucfgfMncT6wbyZJh3iLXYULf5DwDjsdZGWs0f9daJezcrF1R2P5RkmvQdqSlKQbQMuL0a+oc/bhrqlkzH6SDplgzA6313F9V/OV7/LgMa3a2wXZKXh1zwZkqWraEBlZ/TIvMJVzQ4GPF/vC91o8Yrm2xK5RuVjhj5w5tT4jXhrFjFGdWbdGnDTWr5msuTptAnBYG2s97AK19iWKqWeRK5TnveJ1S9ELV6PKRWbZpIVdygvuu3Fxwp3GbbzV4KOSTIAm3bAF4xG++davprBtN1dUt1n3P62MewRgN8Ba4dVSYl0eXyQyttuerNWfXKsXu2BC1bP8gyTVou9J2asX2DZq4M1Z9t87Sjzu4ox8a0FrO7qPCz1RRngtOVZ6TjzZ38RTdfO+dat6mjf7o0F6znnxcM19+QfPrf6gV37fXOnMbU5Yu0c6kRO1inY8Vyw2+P7Tyh45a+EkDzXrjVR+0e+7MEWhfFy+qlsWK6JLzzzQLmldHXnSaHvm6trruMlfXgAu+L5YNV5o49BWvq8ViX+s6cxFJlJAQATzqjT50fncM2VmsWyXvIz3gNVdNc0EpgvexOJgpOFg35uRREpjsrdT0HfFanrohmv7/h0iuQfN2pmtl8nqN375cfZNm6sc06lrZgKZA7XemxFguNe90igMnS6eaTlcnp9OcdnaPwWvT1cVionbLB6vUi3ebJTteZ1xynt41F3HShIlatyVRS9u20aT779aMF2torsVfS79qpvie3bVx/DglL1yglMWLtGnCBCX0/knLWrXUvPfrOSgnm+sYxGiAtqcYDdC+MtC+tcd7r7jEd11PO95gP1EPt6ptlm13NxJ32QduorNwZCbf8n7S014HcxO/cuDRw0m9kPIHsOFmUv6gyH+X96WrH9Jp0sObZq7kUk0wwCYZcDyOT4/VlLRYLU/b4NaajMrhLbkGjekxqzYbaMnL1HezQWCgdQzBAhCdHRTT1dUGXndzeOja6OZeNxeLlPjOCeqYNk4dto5W+21j1D5xlNpu/ENt1g7VN2sGqeWqQfY4RF/HD1DLuP5qEdtPzVf2V6s1v6v1on66/p1qOj7/efrks8+0YlmMW3MRmfvOW64mRmGa9P2ChvW1rPXXBlYvrRs2xLmRq375WcstdsNtnPPWm5pR4xlNeuRBH7Qbrs2spQFaFwONrGN2oL1SKL/ynHqMn+087TgdeeFper5bffv3zvjTTScADuVnEkVkVxt4A81q/WSu4ne6w6CiBlnE3MegDsesBmY5PGdg0k9KVpKuEqbhBMv0jU6P0eS0FYpN26hoF8nhLbkHzWRj4mbNTFyhoZvmqkeSWaPUCeqwabhaxg7Qp3N/Uv1JP+itIS31Yu9PVb3De6raspbuavS8bnyvuirUfFilX7pHxZ68RYUeuU5X3F9B+e4uq4tuK6kLbi6m824oqjMrFdJZpuegFXksqDMrFnSvnVj8At1W/SGtWBrjJk8iO7ds1pTHq2mcgUYheoZZKsBb2KihYr75WrGdfnDZxpg232jRZ59oXt13NPOVFzXVYrqJD9yjcbfdrJHXV9LvrjukjHqULaXOQXrfQGsTchsB7auihfXtdRVVsnwpg8xgIxFzyrEWs12kxrO72Q1m1m6ghWuQIMoCb5Ir+jfxhlpc1lcvel1cXbGyWbsiXh0VMOtW2qxbNXM9P/Z+VSc7nqX6WN5hOLPMzcqNSF+iidtjtDZti7sWUTk8Zb9AWxK3XE81fkuPfVFLN3/4lCrUqaoiT9yoi6oU1+kVCujEYhfr6ALnKs9FFkudSzHZBuMZx9nAPNYsgekpNkB5PNVecxp6/WRe57gwdceHjnWPx6p5y6/8ZcJDsj0+zkE21oCZ9PADmmKx2oyXnzerVUvzPqhnwDUwwBppwUcfaG6d2i7bOPXp6ppU9cHdMo6/VSqvPuXLqpuB9iMFawOtnYHW2kBraZC1MG1S+Er1vPF6/da9u6o9/4yOxIU83b7bCUep1PN3qUs6ln2ac5Wzgy1c/TpcVvGbRYt8N3OgKxPcb4BR+Ceuu9Hgq+11M1d0nFs2goYBLBzgDduxUFO2LlfKzu2hKxKVw032C7SY+JU65raiylPaYCpytvJcepp/ZweG0y1uOcOenw5cqA1EOjfOPMlXCsvnUPcKaZCiz4nauU+/Mp/GWawVLikxMRplFglgJtx7p4MNazXNXEPiMIrTJD4AbPrzz2rqU08YZA+5Y8fdelOmNcNt/Kms7zYSn2HNcBtbGWhA1qxYETW5qqA6VyirNRb3zZo7T28YuMdfcIbynHSUjjAX8o3fmptVw13GbZ7jXGjc6n2B55c+fGsHePxMEby+N0DPmPtYyfWSvq/HzOK18IaptzfLLTzLArR9M+bo91T7PltXupW2onL4yX6BFrdmlc6vep3yXHup8pS8UHmuOEt5zjfrFQ4OQDmoQo+ZP4cdk1u1uKhAuZJaunRp6Jv4krI8Rn9UrqiRZpXG3XaTxt9zp+v4INFBQzFgoVMMPl5znfx2DC5jkAT5rVI5136F29jJQAusWRtAM8iaG2QONLNoncqXUdraNdphrut8g63Oe/V07Pmn2/c7WscXvkAFHqqkWz96ylznT1R/bje1SR7l4AM8Ct05sXhZsd0Ul1Chc4ZWt4pefVeje8fiO2Ds4U1XN5bp2zlDQ7bOdxnhqBx+sl+grV6/TpdXv8VAy6cjSl2kPPkNtP8BmoEUQBEOFz8HwOUaNN4fOoe5nhcWL6Rly5aFvokv2xMSNLTKjRpSvrRLaoy15+PvvNVZrIn3321x2L0uFkPH33OH+904O4Zj/zDIBoV6HHuVK62upPVpKA5ZM9xG4rMAtC8KFVDPW27Uzs2b3GezBj+wvWEx4ZHU9nCLTzrauZK4lMdcca4uuKm4yr9+v578vp4+nNlJrbb8YeBNN/BmO/BcHW4v4AFdJwfdZAccfaDlvY/0iNdSn3r91dobrbYZY9UzdZpGJC/Qlh0p7rtF5fCRXIEWrNi0actmXV3jHuWpdHEINHMfHWghOIAKd9G5jriSpkF8xuPpEcprwevuuQ3WTA29RpbvhDw65qKzNXf+PPc9AtmZnKwRjzyg/qVLOOvEtJfRIVeSOWc0DQfKawDGMRwLZEyP6W1WCsiClH67EGTEZiRBgOzLq69S4/yXasDjj8rbuTP06VJqaqqmT52mB5+tbv9u+7cGrWHcWHChiT0B7+SjlTffmTq/clFVeO0+PdPlI9Wf01Xfpowy4Ga4LG0XewwvE0QCB2wkVD72+ulW70tn4Z7y2riJqM13DVXPlCmanhwbzUIeZrJfoLHZQ1FAK3++8pQ4T3nyGWRnkbiwAYVaLHXkeafquAvP0gkXn6Mz8l+i8wtfoYuuLqgiFUqrnA34ynfeppvMulBwrnLf3br9wft1p8VNd5ve/2hVPfB4NT385OOq+lR1VX26uh595klVM/fvBYu1Il1HZFLN19SnWGHnAhJvAdFwgwkFKuIwHvmZnkY69Tk2gIyO/fAECJlGXMYWBhjWrKlBhn52yYUaV++d0KdmSYrBPmrkKBW79Vq7Bnl90CKVGxAxK1bveB+8owy8i6uU1M3vV9crA5qoycpf9WPGJINuVmZ85+qREcCxpDprljzndVRpi90qmIWrltFKjbYPUO+kqVqTGs1CHk6SK9BY9NNoU0pKiqq8/axOubmILrjlGhW9pZIq3XGL7q32iKo9/aSefL6GXn2zlsUu7+nD+g30ZdPm+rbtd/q+44/q0rWHevXuo779Bqj/gN80YOBvGvjbIA0aPERDhv2hESNGaezY8Zo4cZKmmpWYOX2GZs2cpTmzZztdumSpkm1QR8qSDt/pp6KF9IuB0890YMVybuY00AEVj+gge43uD475pUIZ310kLjPIwgvUgcuIJQv0y6KF1fiyS7S010+hT91dEjdt1uetv7Ibj8VrJx7pW2SyrWQmw93qSPACi2eW+6QiF6nY4zepats6+nhWF7XfPjbCxcwCLojhPvYGumlIV2bU1m07PtenKf01Mnl+NDFyGEmuQaN2xYZ8E6ZMVqt2bdWhQ0d1795Dv/zyqwEzWEOHDdfIUWM0dtwETZg0RVOmTde0GTM1fdYczZk3X/MWLNKCxUu0aMkyLVoa43Sx6dKYFW6pt4RVa9w+ZluSkrR12zZzy/x9yFgDkc/f0wq/yYsWqq9B092AAZ4+Zcuof5Hi6l+8uPrZz/0qGoCmfc160TTMMd1DGcbAkoUXp4EMawZggTUjEfKNHZcSFxf61N0lw67N9BkzVO/TBqpq1rjUjdfq7IL5dKxZdmfpTzFLRyngTHMnswMPV5NukxPtOLN6eS89U5fdUUZ3NX5R745rp++2jlTPUEIlgI6ECFlKFgqi6+S6nQ31dHJbtUn8QytTN4a+WVT+bsm168hdkoGfuCVRsSwuusyHZNnyFe5xialbcDRsAdJ9KQuZsq4ia9mzaQQbAaZs3epD5tarz8Hy2QbgxJqv6vtCBdS1RHH9YKA0/uYFdXz7SfUsWUI9CxZUz+JXq0epkupucAGYs2IhyEjl09PoLJlpkPwIQCM+a3LpxRpZp3boA7MXrH2sXYuZdnMZNnSo3YS669PPG+uZl14wN/kOXVi0gE4yd9rBdjLgWfzpwAvFdYE6a2evk1ix44686HTlMxfztobP6d0x36pdykgX01Egp42tkykz0Ovu6qNXkjupceJAjUtZYtclGqsdDrJ/oNngp/WJfcHYJ2zt+o1uHUX2H1se668WzFLbwQq/+1Jgw5qxUwvbIrEVEjttsrsmn8PmEOwhHVizPUG3dsJ4fV+wgDoVKKIaPzymSvpCH6q/2k8yq9u0nro+eJffKJz/crUvXFDtDZ72BldQLwMyrFlgycJB+8KsWXt7vmnWrNCn7Vn4fljgbWaRN27cqDj7ty2cv0BjRo/Rz717q+XXLfWSxZS33n+XLi1RWCdcdHYIPD9T+SdXk+ckl4DuxKMcdJfeUVr3NXtN9Wd01vc7x4diOj+R0ixpqL7aMFSDN89W6k6/RS0qf6/kGjRWwdq5c5fbqJ2tZnHxcPXYTTPOQImNi3cr/f4V0Nh3LHAd2fYobYdv2SJ308xOJr9VT02avaxS+lRF9a6e1ndqrBHmbs3TkF0LNHTyQA1o31Tdnn5cHW64Vq2vLqIWl+VTi3yXqEWBK9SsYH59abA2LXSle0SbXJlfjf53rqZ+9qn/IawsnEtDwXcmO7llyxbFx8dr0cKFGj9unIH3s1q0/EovvP6qbr7Ht3hH/89iPOK7Uw0sGgF2g84U6Ji9YNAdc8U5uurRG1wGs0XCAD97mT5dXdaO18D1M7Q59c/xbFQOveQKNIQBg3Vh4LOROnuAsREfi5WyhS2w4Aaypn12UGWn4aABLOfaZAMSq+Z209y+3Vk2YsPwjf3+JDulCZsWqlrGNyqmerrMe8PNYK7pdVMrjVI/LdAErTPktmqBt1GzE2M0fMQv6t/xa/VqVl/fPfeYvr73drWocr2aXV9BTa8tp6aVy6v5DRXVtcYTil8fL5bzTtiZqC07tinDrsP+Ct+fGlxiYqISDDzf4o1Wt25d1aDRJ3rw8Wq6ukJpnXDxueZCWtwGdJGxXaZ7aS7oGcfpjDJX6JaPn9Z7475X1yXDNW7zYiXa94zK3y+5Bg1LgvuIdcGqAQFAAAaAsAw3S2r7Vm33nVj2pA40Ox7Xk+W7idOwkmzgTinBB25rJnCZ+4x5YbDt8DQraaXe8n7Wg4bVrV5jt5oWq22xD0B9r6/roBjtxdg9f7Xmar3pRs1Xsul2i3aSNTkjQeO3L9XolEUanjRPwxLnaFjSHI1Inq9JGXH2vvVupvMibXJ7aq/esUXb01IPSBwUWLwNGza4zOrkSZP0888/6/MmTfTY00+qhEF/ymXn+7BlBx1rp5zs1yDzXn2+Cle/SU81r6P5K/9cConKoZdcg4YwKBjozoW0gZ8Jm4HBEtzAwtr1JDly4kJyjNtIwtzOuPjV/m6a5kKyebvbTTO0fW1ScrLbtpa9op1ls+/hXEiDbEFSgurv/E0ve53ddlGPeW3cUuLAxi41bCP1pfe7enrT3Ba+bEYBdEw5YRbzeK00jdM4xWuM6Sj7eaRTfk7QJK1ygLIsXLAkHAugsgfB2tREpdu1OFBLwnF9ie/WrVunBQsWatSoMerevacafdZY1Z97RiUrV9Dpl1/ow0Yx38V0BhtZS4D7n2mhM5Wn3NkaPHlU6KxR+Ttlv0BzsVo4bM6ypSopKcUlMlabRYpftTrkQubMqnEc7iO7aWLZgk3c2ZwCdxLoXOxmFi7ZrBtuK5+t1HQt2BKnhqmDXMf7615XB1p1r51ZspZuDwAWOmUhV5YKYBVhtpBq4PVXU2+I2/6J1Y9ZRbh7aN18doZhzUWW8qZ5l11ignX0ZxhwwXa/rFI1Xxs0m10+d6xXcpq5aQegdMX1ZaN5riuuOTevJcuWa/LUaa7e2LkT7mUjPf7s07rK3EsaA/yYzpT4jZa1wuZy3nK5hk8fHzprVP5OyRY0XJh9CYPBdyPTnRtJ/ERyJDEpSRvM7cMiEXMBT05cyGBDQCzb7pu4A16CA9clSuzcWDditx3JqVqwKVYN0wbpFYPnNYPsBQdZWz3sfa07vS90ndfAgcYs5gu9F91aHUyuDJb2vsFiOGYzs6b+k/Y+9m9jkZw3zDK+6ZbL6+7W8GAnU1apool3qLfELevNOh5zLeZjb222/Z2Zvkqr07YogxvAX5AMu65YbMobgIYLvcZuNFzPpTGxmjNvgcZPmOQK/u3ad9Dbdevq1vvu1kVFChhoZs1OMdcy32nKc8MlGjJljDuns/xR+dtkN9AA7J133tHjjz+u9u3bO4j2JgFsWDf/DrzTz0Sa1VkfJEdcyj+nsGVtBuj2JUMdeL6lC2AjfkvakKi5a5erUdpgvaYeDjK28wWWh71WbjNEICvhvaP8Xi1dkrlGx8sG3Eu6wPR8Aw+9wJTXWLKctTtYJg4QmeVczLS0V9dt2sHGiWyIyMYe/uI5883KxWqqQTbd3EoeWWpg4Y612uZit9CFyqVwTbl5ARouOTcXriWxr9vHjetp14ui//RZszV85Gj91OtnNWvxlV549RWVveFanVLoQl38SEUtWrEs828Ulb9PdgNt3LhxuvTSS7VmzRp9++23FhvkzL8PgANM3B1XXwtlIoPkiF9by6lli3zNB87FcAbbunizInGL9Vnq73rVQdbFWbInDQKWEGe7qOu9+m4HG2YpR66tGKksA+cDGOhLmTAGzznuCoMVcMlkAlywxMAQb5Fbx2OqlyAWz5lgsd609HitS0uU22kjTIJrlZ0GwnMsGu5xYlKy3bQ2+dfRxb1Z15HH4Pm8hYs0aco0/T5kqLp06abGTZuq76CB2rZ1e2amNvwzonJoxYEWExOjGTNmaOLEiSpQoID7xaBBg/Trr7+65zkV/pCk/v1i9lbX4RGeHAksW04SJJHK+1xmcnm8ZsQsUJPtQ1VTvczF6+ZW+33aa+92cLnLa2ruYEO3yUTkasF/Rf01GVke7lWxBxybWbDR4lteD7cWP/tqs44HFm2y4l1iZXyG/XvT1ju3mkQJ18ePbf34NlPtNV5HOYbf+3VK/4blriExr91oskswBcDxu6XLV2jugoWaO2++1hic3PQ4V1DwD5clS5Zo+PDhGjNmzJ+mHkXlwIoDrVWrVlq+fLkrpF5wwQWaPn26s2akmnMrkfFFkIkkqYEb6RIkBkzgIoYPmL0pg2v5spWavmSe2m4brfoa7Ba4YanxWl5Pt31vVa+12++aXWiY/n+Zcxf9NRSzg2d/FXhZi9Hfvqmx2/GU5c1Jpgyz+G185mpV8Rpnz2ftWKUt25OVscO3LCRxqEOGK69x3VBa3MjkJiYnuwSQi3dxwfcR77prRD0yHhd7vYvt+Btw48MVDaR///667rrrlDdvXuXJk8fp0UcfrauvvlpNmjTxbwzZyJw5c3Trrbc6rVKliipUqKBy5crtU5977rnQGXx56aWXMs/Ts2fP0Kv7J3zf4FyNGjUKverLdruG1atX19133+3Gdm7lp59+0h133KHVq1eHXtm70Ow+f/5814YXKQ60xo0bu1Yh5LLLLnMf8FeEO6fv+mTB5he019mdOQs4LJQPnD9Ishs8gS5farHQgnlqlzhan4u1+oN1+v9w6yeyrn8tsy6k9dlsgl1A2d2F9RN91zFYLfjAQMc5SbAU8+roRpfNbKMPLXbr6E1w63iM8WI00UBDxypWE3atVOy2DUozVy4tdYe7NmRqUbpfcBMDJc4lNgMUsq1csz1Zs0gFROJZYjogDUDDSiL169fPhIsBj9fSr18/derUSTfffLN7/f777/+T9UNGjBiR+V703nvv1bPPPqunnnpqj/rEE0+oQYMGoTP4QngSnOOaa67J9rNyIps2bdI555yTeS6gCBdKJBdeeKH7XeXKlXe72eREAJf35sTac3Pq0KGD3njjDX3//fd/ulk50HAfuBgDBgzQGWecocmTJ6tPnz7u4tO5kFsJXKTdu0f8Vi2yZ8QbZNCcO2l3YH8A7dnCBZB9u2WUGodBhrJ0G5thoGyO0cgbrLe93nrKXEnWT7ze+9Sge8/cvdoWYwVr4WdB52v2MO1LWUefuI1tmSp4H+ghcyXZlLCVfZdfvFka6S1z1o34bYxWarQXq7lbV2mzAbQ1KcXBFKmJpiSTKJP4ngAJpZw3AASgsV93ABquI/LNN9+4gXPmmWc6dzE7IWQ48sgj9dZbb4VeyRLeEwzq008/XQkJCaHf5E6wnMF5UADeH/nhhx92O8/DDz8c+o0vWLTChQtn/r5WrVqh3+RMmlqce9xxxzlvb1+SlJSkzz77zCUTMVyRU7kykyGDBw92dye6zXnELejdu7f742zevDl0VM7FxRoh2MhmErPRv7jRzoV1Wx1h3WIygdt94KyIWamZixeqXdIY35IpC7JIDYADvi8Nuk8Nujrez3oxtK3U7W5GMpvV1zU43nZp/qxEyf6BF+wSw6YVZdyWTF+4hU/ZcJBSAIkSNq3AhRxjOtKs25TtKxW/drU2rd/kgOKa8AgY3Izc9VnH9WHj+lxkbU1xy7mB4T1gEVMMNG56K1eu1JlnneUGHH/TvUnHjh11xBFHuNg9XMJBO+2007KdgJsTKVasWOZ50EceeST0m5wL46tixYq7nWdfoHEDGThwYOi3+5bcgMY17tatm1555RX16NHDfb9wyQQtkNmzZytfvnxav369+7l27doaOXKke55b8QN7YhK/25/gnrs2AT4pa+7YgTvpBlQcsIUSJgya5RaTLVqg9mtHq1n6cLFXdAsbqs2dGlCm2QGHAlyLkPL8Cxv49c29rGPW7iWvs4vnWLj0OnP7cDPpIGGV4MvN6lEK8DOR4eoDiGYHHKUBNh1kDX3av572vrPP66cfPdZiXGjWbbkreI8xqzZCyzV6R4wWronV6vg1WmPxFDHVKovFuB5YMQr2vruYM8hQZ83spuVPN9qgTeaN4IYi3xs8DLZjjz12n/EKfzfcu08/DTVRhyQSNJIp+yMFCxbURRddpFNOOcWd64QTTsh1MmbChAnuvYAQfKfsQLvqqqsyf4+effbZWrx4ceiIvUtuQEOI5WibW7VqVeiVLPkTaEOHDlXNmjXd8xUrVujiiy92dzbagfYUJO9LoD3ojcSVJBNGFwlZyQC4wJ3MTJaYropbrW/79VDRxlVVvX9DvTWlnT5e2F2fr+uvZjuGOeDCwcsOuECB7SsDFeVnwGO73ne9PnrF6+Kylg94X7uZyuxdxnqK7OJ5pdvFkw3ud7d+f3Y//U0r/B1i3nbb7NKF8r6dv63bbHCuRpgriXUbbdCNNNhG7lqmGeuWKXZ5nGs949+Phfdd6iAmyxlk6DI7nlIKiSfqmCRTttsNDnm3bl030I455pgcDRzcrDvvvDP0ky+jR4/OHLB/BTTiJuI3YqrgfB988EHotzmTatWq6X//+5+LE4NzZAda/vz5VaJECZ144omZx1177bU5Gsu5AY2bE0lEvEBCsfHjx+/2vj+Bhm/53XffqUuXLs4017U/ED7nY4895nzQ4G7IibeaOxhpIrMTjgE2Z9127fSB226xmwG3JSnZuTjOXbI7OnUyBguDbc3qdWrRpb3yVPifjq2YT+dVuVrFXrhDtzd5UU/1rK+3J7bVJwk/q8nWQQbSHyHwRvnQ7cPF9K2dHR9SVpfC1WRDReBjv2riPCwfO5SyPDduJxvYlwi5ngUNQt8Ksn3wa86FBEYeCxicbJjPdkxsIs+GFbR3sfApZYCRXox9w2UaZjpx3RJzw5Yrlrl8YTFrdjDtSTMzjgYrLXB+xnFb5oACnGCgNWzY0L22N+HOXLx4cef2B3KgQAMQbuZ8RnA+bujZLVGRncTGxjrXln8HHldwjuxA47M+/PBDtW3bNvM49P333w8dtWfJDWhkZIkZW7du7SzmokWLXLxLvgP5E2gIf5y+ffs6V6FNmzYuM0RW8o8//nCwIWvXrnV3lZxeHMQBZ7Cxt5eL3Zw76WfYAneSzn0yZtTe1q5Zry79+uiYKgX9Jlm60084RnkvPE1nlS+ggtUq67q61VStfR3VGvm1PljUTY039FOzXX844HzoQtYuBxYP+LB4gMfPvB5Yvg/MDQTANwxAtvx9ylzDal4b3eu1cFsG32LuYmVzQ1lDn1ithPeeKzFQcyMZQ6dKTQOutTfK9U8O9BZosEE3yHSAFmr45vlatCTGYtKcu4rhCpx+bLbWxXkUuikR4LYjrUKJEJS7O4N8b8IgnTt3bub7kQMJGil/brzhWcMff/wxdMTeBUg4nmTMa6+9lvn+PYH2+uuvu5+x0MGx6L5KCzkFjWuENRs7dqxLhgRJIhrugY0GkGxBCxfqIGQgESYtAh+PM2fOdMEwFyunAmi7WbdQQzKpbtxJBgelgPUGNe7khvWbNHD4MJ1+T3HlKcosZDP/x+RVnqOOMLWLdeIxOvr803Ra8Ut16Z1ldc3L9+ieZq+qRt/P9O6U79RwZW99kTJYzdOxdsR0gZtpFmyf4AXqW75wAHkdC/i5N8RtE1zfG6gPvQFuC2F2jHnT66nXvO5uharHvLZmEVuYO9pAZQ3Ayl5DV+h+145rYRC388a65eNYA6RX8jTNsbth7NLcWjM/NiPW5boFvaDh9bOFCxfuFs8cddRRzlPJiUcSyIEEjbQ/UqdOncxzlipVyr22NwEe4izqZsgzzzyT+f49gUYZAyEhRGwYHH/WWWftFaKcgobV5zoTm7333nu7xWgAyA1rn6BxQchC8ocKUv0UAL/44gv3HKFIRxE0p3+0cOD4gn6yxG9KTk7x09vEb5QExk+ZrPMfKac8Jc/1518dc5SveY/0gTsS6EyPy6sjzzpJx+U/122OcdVjN6py3cf0YOs39cKAz1V3xvdqEGfgbRmo5s7i+W6m/5gz+NDwckK4+xnEf/7PPoyBVWSf7oYuHvxZz3jfu613r7UYDmXjeNq5apmlfEe91XTrYE1YOk9xS+JdQig7sMIVyHAZSYCQUCFzmZQSzG7YuduWTrhrwSALlLs8gyEnEgna/naThIMGrMENgKzgkCFD3Ot7EqwQxwYlgaeffjrzO+0JtJdffjn0ilwjxvHHH5/5nhtuuMFZnuwkt8kQchrUKTFECOf97bffFBcXt2/QcBn5A/GhWKGPPvpIN910k/sdCRLM5Oeff+7M+Z6+8J4ky7qFZm2bdWOP7G0GHGnpFIsxFi1arAuqVjCLdprynH+Kcx3zHGtW7WiDLdC8pkcZeEfaxQO8o+35CUcr77mn6KTCF+h/1xdR4UdvUMW3H9EDLd/Qc30aqebYb/ThQnM11/fTl9t+d+4msAXw+RYwSyOB25dGAgmEbGDBY1P7HVawhvejy3zSyVLMe8dtsXujPtVjO77RwJgJWrV4lcu8Zg9Y1tQiEihkK3EZKaHgMtJdwt8r/ObHwAtPQARK1o+6GX/PvUk4aNTRcjoAIyUcNOSBBx7IPC/F8r1J2bJldcUVV4R+yj1oSHjRHqXInJ3kFjQMEdlQwML40AxAxp6/wz5BCxfuJtQl+Ac0b97cZXxoPsba/RWJtHAMEqDFrVy9arUervuSTi1zqT+z+Ai7OIAUDlq4Al24tQO+vPZobibgHW8W78xy+XXFfeV1zYt36pb6T+mRdm87d7P2uNb6cH4XfZLQR58nDlTTtCHmdg4z8Ibrq1DMl5XlDDQMRqfZgxdoAGAAXlP9off1q56VWTo1USn7qYBqqeSuumq1sp/iFsfZH3p32LIgi3fJD+Iykkl4Aq630bwD19sYBlkgXNdwdytcL7/8cldH3ZOEg4breckll7hBvyctVKiQKxdFSiRo1HCD8zKwFyxYEPrN7kK4wjFff/116JX9A42Bf88992S+DyUnESm5BY30/u+//+5CrWHDhjlrzWchuQINn57G40mTJqlo0aKuVQtLdt9997nkCO4k3SX7IwFsXih+I2ECdPSNzZs9V+07dtQLr76s/IWu9CEKLhIgZQdcuAbgHRGCj5+PPUpHnHa8jrnoDJ1c+EKdVeFKXX5PGZV6/g5d//4TurfpK3ryh/f0wq+N9caoVqo78wd9vKSHPl3VV403DVSTlEFqmjokZAmzYMuCMfzR1yw4/ef8Hm2p0aaj9IWGqk56L1Xf8a2u3/WpSqXW01dxv5iLZnCFYHOQxdL94dfLKPzT3b/Z7qZZcdneFzBCmAYVHq+EKzdQ4plICQeNAUjsQ1qeuCRS69Wr57J92XWPRIIG/EWKFMk8N3FbdkLfIuWJoF0Q2R/QEOrE3AyC95577rl/ijlzAxrn4yZFsTqoQYdLrkAL5IUXXnBxG0J/F+4k3Qbc5cL9dj4wCMZzI866oSHoCDY3mVvEhRgyZKgaNGyo+8zFyHfF5ToKNzJ0sXxrlw1o4Zpp8UyBjvfwXn4+3izmycfqqHNP1nGXnaPTiuXTORUK6uLbSqrI4zep7Kv3urjv1sbPW+xXS091/lDP9/lULw9uqpojv9bbk9sakB1Vb/aP+nBBFzUwMBsu75WpjWJ7q6HFiQ1X/Kz6S3vo40Vd3XHvz+2kOpPa661xbfXumLZ6c9Q3emZ4Y938e22VGPyK+s8co7gVCS4eo76YCVlobl5gyXIKWSBA8Pzzz7tUeeY1DCnWCgsSLpGuY06bbSMlEjSkZcuWmeemzhbZjUTmju/J9w2X/QUNwZISFwbvJ/EXXs7IKWhca2I/atCAll2Nbr9Ag1yq+5wYv54vR8vWxx9/nAkaqU5aayL/WLmVYMDwf6AlWcIfePbsORo0aLA+a/yZfU5V5bv8Mh193LGZF80pQGUHW3YawJfpcoYg5DVgNteTVYSPOucUHZfvLJ1U6HydUuwS54aef9PVyndnaeV/oKKueuwGFXv6VpV66S6Ve/1+Vaj5gCq99bAqv1NN17/7qK57t5qurVNVlWo/rIpvPqSyr92rEjVu01UG8pXVKit/tet02SOVdPFD5XTOA9folKrXqF2/nlqdsNYBRo2R7CKJjyAmYx0Vkkm5gSxccHPKlCmz+7UzpbYVbtkikyEHIusYCOOIPtvg/NRywwVvitfJ4IXLXwENofs/eD/67rvvhn6TO9BggTH/yy+/ZHv99ws0hIZj3AaCPnz+4AuSfSRuo6cME88f/kAL5ySjBnRr7a4+b948/T74d31hF40/YOGiRXTq6aftdgEdNLkBL9A9AeggtOfunMBox2IRTzLYTz7O4snj3U4ybOV0lMWGvp6so847RXnPP0157ZHfuR1DzzjR3NgTDGa/TuiWkLvQvv8lpyvP5afryw5tzTvY5Hoficdc6WMTa18mu0wtrlcQk+UWskDodCcMYLpM+HVjIAdyMEFD3nzzzczzk+oPLANeDdO3rr/+evdzuPxV0BBCn+AcWM1g9sqXX36ZY9eRGxI5DMY/1jjSqu03aIEwKxs3g1iKyjh+Lx9IZic7//xACwMLS0eXCq4qVfkRI0eqo32X1994Q3fdfbcuujSfTjz5pMyLmak5ie/2poEbGmjgjv5J+azInyNfCzR0LoB12z8dp09atVDiFlaE3uCsGKUPivxMseEPyr9/Xzc0bkZYrn1Jr169XBwUXKOTTz7ZuW3IwQaN7xg+R47UOELcz88M4kjJSR1tX6DR7YT1Ds6DW0zmEKtKb2hOkyGMdywbTNDcESRCkL8MGiQDFTO0cSepb9DrRX8ZHxYu+LF7m1h4IIQBxx2eu0qCuVlkvajOY2VfeuUV3XnXncpf8EqddOrJOvKY3e/eTgEAS5UdWIda+S72nd7+pL62m+XatDnRFfWZCUGRn+4a/pjZZRcjpUWLFm6yZk6ErF547BJ0kRxs0JDw8sNdd93lXqOcBAjZxfsHAjSEfxvWKzgXVo7kHjeanILGVBniPsY9j+Hf9y+DFgiT8M4//3xNmzbN/cwX54MDIY5jHhKZI8D8q7FbToWByAXn+7EiMD1pw+yu06lzJ9Vv0ECPPv6Ybr7lZhUoVFAnnHKyjj7eLElogO+muIqBJcp0GbOBIzfqrCBWLHTeiM886ui8OuOss9Ta7qxYL5bZo8ZI0oOuGuqPOXXNaXalOJuT4/ESrrzyyszvQZ8gcihAI80efAbd/UzZAfqg9S9SDhRoCPXg4FwomUiUQvS+hGsBXFhfbu7hYx85YKAhBKzcfVgaIfKDaAC9/fbb3XMaLrlwgUtyKCWweBQXKUmssLvVjBkzXUdC165d3Z3/zdq19eDDD+nmKrfomjKldf7FF+rYE49XXoPwCNcClnW3/8tqoGFZAfzkM05TIYsvr7/xBj3+ZHV90qiRev7USzExyzOziuGuYm7iMZJU1ED5N+dEqlatmvkdgxrToQCNEICOez4DwLAoFNT3FIYcSNC4rnQ9BedDaffaF2j8HXAX0SlTpoRe3V0OKGgIZjbyi+Hvcnci2A1fhyTch/27JIjxgI8Gab4ff1SmBs2aNcu5u2SSaHht9U0rN0eLxM9zNWrovgfuV5XbbtWNN9+kSpWvVdkK5VWqbBmVKHWNil9TQkWLF3PKz7xevlIFVTaIbrm1iu65/z49/ewzevudOu6crdu0UefOXUId31O0yGLNOLPATAgNOj381az2vEfcvoQEQ7NmzUI/7V1uueUWN9BOPfXUzLrQoQANicwE1rBrvSc5kKAhJPDC62s5AQ3hBsiYYXoM44YbRrgccNCyE9pqKG7SkMwgzckX/7uFgcyNgAvIHwwIcT+DtjP+DcuWLnVdMbNnzdbUqVNdMZ8ULwOS1pvh5qsTr/IzdzumTOAy0/lAQzbnIBBfs2at+wNjZWk9YwoRYJFJ5DuwZiaaCdh+QIbgPhKHZNetES58LxICDDTmjQVyqEDD02GAB59F/L8nOdCgIfzNghg1p6AFgqEhIRI5ufagg8bCL6RmA0tGkoIBRTqZhVoZmPtzdz4chO/N4HcwmLVBKTsAZ7juRO11fs+xe7JI7nym6RlZS9G585vurxWLFGqbQLSnKf3cRKiJMsiYZR3eiX6oQEOAg89hwaC9/bsPBmgIiRDOyfoqOQWNsc145ibK3ytcDjpo+KwQHilfffWVm+dGlwnuUtDx/F+WANxw5bVAD4SQlCJWZhDRCcHfoXPnzq4uireBq8jvmPSJCxQuZNOCQY3ub48rVpWs3t4ED4HPIG7emwBX8H2CHEAg3Mz5rCeffDL0Su4k6IeMXDslO+FvBWh7WqLxkLiOkYILRq8kSRH+8KSPyfiwuAl3of+yhIN1oOCKFCwrmcTSpUu7trlgoKKUZYiRImMMhOYEBjbK4N1TgmJfws2VhNm+hITZvpI3tG4F3yky/mRs0SoY2WWSU2EmN/DmBLR9yd8CGrNiX3zxxdBP/h+Q2IcAnDocf2RcragcfGEwUZLBgmChgPA/I8lmfTbGWlBoljkle0sErAfimvwtoNF4SSaS+AX/mbsSi1USE2DuX331VbdsF8mTqETlgMv2RItpuku9aku960jT+5ifmfslFXMjfwtogZBdOu+881yWhyCdQjY+Luv+0W/GJL99zbiNSlRyJbP6Sa3vlRpdI/WsKcUdmsaJvxU0hOwX02wAjloWtTbmMSG041Btp9jKRNPskipRiUqOJHaa9O0DFiAeKdW7TBrZ2vzCQ7eR/t8OGkJMRnaS2gMLXpIsod5ElwmZLxZiITPJhEIyX7icwfolgdAM+1dnekflXyi4hD/Xk545QnrEhvs3d0sJu0+1ORRyWIAWCK5k0IhMkZtZwFg75rkhZKAotjJVnImmdGyQVkWI8/bU/hKV/6B4Ni7GdpTeNut1jw3zd/JJEzqHfnno5bACLRAsVtAvybT6YI0IMkAIZQGyZPTuUbvAEvJaVKLiZL6FGI2vtbu1De9nTUl4pGQtf/B3yGEJWrhQSKX3DMtGPMeCrtSAWJOCOhBCqYAYjk4KygP7Ws0pKjkXUtskqA5WTe+AysrpUhuLw6rZsHZuoj3ntcNADmvQ+CMDF9NrWF2IdiCm4rAOIaskMyMA17FSpUpuXhxFbyCkAThYQTlaj/trQrGWYnB4ATuAjvonMza4+f2t9bfV86Ufn5GesuGMFWtUQZrtTxo9XOSwBg1YsGSB64jF+uSTT9yyyywlTUxHJpLsJML6fKzzQCzH76jXMet7b9lKulJotv0vC9lerlFkggkBIK4lgnvO9aTOSUmGDpJ27dq51bT2dwunvyRrFkjdXpFqHCnda0P5vcLS+E52J/j7Z4VEymEN2p6EO2qwrB2bb5A0ofudMgANsSRUAAhLh+tJu1fkarwUxhlgzLva21qG/1ahhzBoLWLWAXVMbmSBEPcG3gCJJpZBIC6mSZfsLlleFvThvUyjiexWP6hC7evHGj5g99kQfucKaXhrC+63hQ44/OQfCVq4kP6nIZl5Y7QScYdlFjfd4bg0rCFCz1x4gywd1jTQknChsTm7NQwDYQCxVWr4IPw3CNeHfxfCDYobV5DBBUJ2gCURxc0Ir4LSCkkq2uSwcryH2BlY8SBYyOagy5KxUocnpadt2AJY3QLSCOphu08yPhzlHw9aICwOhPViQGC9WG8iWIiT5tcgruA5d2JcHYrhbE2FdQv2cY7cpA4XiWbb8Nep89GvGUyIZOBR5+P1cDnYCYTITclZ2DY79y874ToFe5JxvSiXsMoUU2HoxiHji3tOGxw3MOI0hMdgxjXLiNPtTycPEx4PiuAGzrV4q8Xt0uM2XB80xUUc3uaQFpz/qvxrQIsUso+sfst0DNZAD4J19n1jIzqE1boAhqQKvZVkMhls4YE9ALHeYPgG+uwZB3zBAqIMTlzYyIHPpElWdtqXADyaW6GDPrBKCLFs5NSWYEkJyiBkZgGMWItrwnZGwbxAkk5YOeJVjsUb4PzUMLHmJUuWdDMr6NoJ6poIrmNO/o25lqS1fvfGx0X9DCL6WTn7wG7mIv55ZsHhLv9a0BBcmsjJiSRImGuFsIkdUyuAi6XNiO1IpjD4AmGuFhAG6xuSaSP5wnuC47CGkVNGsGasOsViQPsSLESwNVZuhOQPS8MFy7BxDgY+/+ZgHhcTIwGBfyexKLO7OYauff4dzAjGfQ4WVQqsNeBxA2JBHwTrRbMAEOI2HjShVarnm/aPO9t3D8kkkrKfOyh0wD9T/tWgZSdYHWI43EosHrFdgQIF3OBDwuM1YhZcKuIXGpy5o5MYIOZjERcEcFkWHevAlPvgGLKjWE5cOep6wBBk74h1sCjBkgKULUjmAG5QjMdKBkI7GsmdyEmFWFnS6yQoOJ7jKIMATbDjz4MPPui+Py5fcNPh38WN4cYbb3TxLTcE4MJl5LtjJXGpySry78eikRg5aHEqxeTJZqma2Xd+0oYkKfpa5xlwtS1I3t1C/1PlPwdaIAzooG8ScFiTknVN2HYnEFxDXCggqFy5skugEIvwGq4inSrEe4D20EMPufNwDBMNWbqa9wAfsRDvIQuKBQFCEjEcS6zIz7h1WBniHSwoXS+cgxgRl5YdMsuXL7+bW8tSbEyzx91j3UNqiEBFAofPRph+xPdjzXoSHAggATfwsZYJVhqrxozrYBnA3HbacJMIkimRssdYda19xgD7Th8V8ovMj5niHo5u77uO/yL5z4IWKQAUua47Vi6YCYyFIOOG4HISpxEPBQOa7Bw/M1ixiiiDG4sDlMSMvIfl7IJJr1hXXDVWweJ1rEzwGUwZAhxmM/Ac4HAxw60K8WZgiSnSs8Eeri83D1w+zoflxsXEhWXzCNbgCDKE1M72tEVSbgTAatSosVstLfieQIwLigu7bj0W2WDEPRz8ufRFBanm6dL7l0vdX5WWZFnxf5tEQduL4PJhZRCWWeDuj7BLJokH3EIWuiFbiQuKe0j8x+Bi0AEU1ohBGAiWi5oVwp0eS4AlBBBcS9apQLByfAYJCTpeEKxX+A4uJHNI1gQCQEEsiSvIrAdADbKLuKrUv/ZkefYlfFese3bCTQrAOYaiNssVELtiRXGvAX/23Pl25E5phN28ur5sQWVdaYbFpnuY3fxvkiho+yEsJRcUexlEuHsARXzGI5lO3FCAwhVlTUuyfQw60uXEVFgrLBmJCqwev6NcECQfsJpk9wCJzd1x87CI4a1QwE3SIlwoJgMSg35/V6nakxD7EfOFSwAtMycADMvOKscAzTXCtQ7izSWLFysDS7fOLN+Wg78vw+EkUdAOgIS7cww8Yj/csmBTCWIo2sZY1xEhOxhMA0KCYwGVwYqlA0iARkiE4D5GZjaDJMWhEiwurjKZR5IoxHq4hDQAABXJFYSbDB4AQqKFkgAuKrvVHLSEymEuUdD+40KdDWu0N3cSOIALwbJyIyGmJT4EIuI+hBWjSP1TRsB1REgGXXbZZU73p1b4b5EoaP8xwbUjAxrMbuA5mclwCaYZkXkkCUN2lZ5QYCOxgasLmCRYsFJkU7GstGpxLuDFumGhEdzdyK6Z/5pEQfuPCUCQQQ26OQApfMltCt0kUMhi4rpStkBwEXFhqfE98MADDiJWMAM+NoUnXsTS4SIjuIr/VTcxO4mCthcJ2peQoDUpXLjTE6dEtl4dSMFyMKgPZN9krVq1MqcGkaggEQNcwFKzZk33eWRN+fcHLWmUObBmWCdcRWp1lCLIcvIeMq58x4N5Lf7JEgUtG2GwMAuAtiW3WYXd9en1i2w9IpXNHfxgukUkGWiQJouYGwkvA2C96PAI4CKbSSmAWh+gYMWo9dEJEr5OPecgy0izMsdQMEcAlVIBjdbR5QBzJlHQspHWrVu7Nq2gm4N+R4L5yH5E4p2DvWwCFg3Ag2QFrl+kdSMbSK8mNTp6EqmvkbSg9EDt7e2333ap+euuu86l3QEO2MhsUmsLNnEgwUFqnmMBCOVYCt3EYpQosG5YtdyC/1+XKGjZSDAZlLs2GTkGLK5VpBCvACRCgZnBy1rvFGqpkQXTSRi4wMrxCC4n0OK2BdYQmACEJAXwYkGwOnwHrBGgBS1hFLHDeyGpndFCBSi4dVhjPos6Hm1agIZQTqCswPG0dGEt2X+cbCDfj5odn8VGgMRhwbr3nCtYGCkq+ydR0LKR2267zbUtUUCm6EuhmIEYKYBUI9T1QdKAgUqXB64e1oDueKwFzb+0YLFmJSDRFoWbxrQUukeAiW2CSJUzwLE0bDZBxwlzxYCDeAlg6FtkKQGamAMBTCwTwrnptQTgYBoNDcIIMRhpdywSbiAWGetNXyU3l2BHHzpbgudROTASBS0boQBLKxXzyQAFN4yEQXhyBKG7AwgRrAfuFNaEpAECNHTckzjgWNxP9hygqx+A6W8kxqNjntiILg8AJC4kZkLI3AExxzNjAEuHq0grVNBgzPeiowRwiCuxrriXzJCm/xLwaefiOwRFdArKQZcJN5TANY3KwZEoaHsQEh1BrQnrBACRs5eBjJiIAR8UbXEfgzUpH330UZdI4BhS6CRUGNxYPVq1qDnRIwhsHIOQ2cQtZJWvID2OteE4gMOSMQMAaIKuED4/2F6I70oshRCz0aXPd8H9jZwUGpVDJ1HQ/oKQWGBaCnAAFULSgAQClov4DfeS+Al3jt0jARgQgAY3kOOoP7EpOv2NWE5cSdzOoOCLu0f7FtlDalbMEACocKFLI7BykWWIqPz9EgXtAAhuWpAJpB8RS4jlYm4XVoc4iQmZWBVKB7h3Qe0Ka4XrRnIEKxdMWyGeClxD0vCB2wp8e9pVMiqHr0RBO8QSWCsgxAphAaPg/PslCtohFiwcCRNamoKFcqLy75coaFGJykEX6f+Ys223EmQ3owAAAABJRU5ErkJggg==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4981575" y="28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209550</xdr:colOff>
      <xdr:row>11</xdr:row>
      <xdr:rowOff>38101</xdr:rowOff>
    </xdr:from>
    <xdr:to>
      <xdr:col>6</xdr:col>
      <xdr:colOff>1362075</xdr:colOff>
      <xdr:row>13</xdr:row>
      <xdr:rowOff>38101</xdr:rowOff>
    </xdr:to>
    <xdr:sp macro="[0]!CaptureEcran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62550" y="2066926"/>
          <a:ext cx="115252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Capture écran</a:t>
          </a: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190500</xdr:colOff>
      <xdr:row>15</xdr:row>
      <xdr:rowOff>95251</xdr:rowOff>
    </xdr:from>
    <xdr:to>
      <xdr:col>6</xdr:col>
      <xdr:colOff>1514475</xdr:colOff>
      <xdr:row>16</xdr:row>
      <xdr:rowOff>152401</xdr:rowOff>
    </xdr:to>
    <xdr:sp macro="[0]!ImpressionCouleur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43500" y="2752726"/>
          <a:ext cx="132397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Impression</a:t>
          </a:r>
          <a:r>
            <a:rPr lang="fr-FR" sz="1100" baseline="0"/>
            <a:t> Couleur</a:t>
          </a:r>
          <a:endParaRPr lang="fr-FR" sz="1100"/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180975</xdr:colOff>
      <xdr:row>18</xdr:row>
      <xdr:rowOff>47626</xdr:rowOff>
    </xdr:from>
    <xdr:to>
      <xdr:col>6</xdr:col>
      <xdr:colOff>1400175</xdr:colOff>
      <xdr:row>19</xdr:row>
      <xdr:rowOff>180975</xdr:rowOff>
    </xdr:to>
    <xdr:sp macro="[0]!ImpressionNoirBlanc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133975" y="3228976"/>
          <a:ext cx="1219200" cy="333374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Impression</a:t>
          </a:r>
          <a:r>
            <a:rPr lang="fr-FR" sz="1100" baseline="0"/>
            <a:t> NB</a:t>
          </a:r>
          <a:endParaRPr lang="fr-FR" sz="1100"/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161925</xdr:colOff>
      <xdr:row>30</xdr:row>
      <xdr:rowOff>276225</xdr:rowOff>
    </xdr:from>
    <xdr:to>
      <xdr:col>7</xdr:col>
      <xdr:colOff>247650</xdr:colOff>
      <xdr:row>31</xdr:row>
      <xdr:rowOff>200025</xdr:rowOff>
    </xdr:to>
    <xdr:sp macro="[0]!LogoInstitution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14925" y="5905500"/>
          <a:ext cx="1704975" cy="24765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t"/>
          <a:r>
            <a:rPr lang="fr-FR" sz="1100"/>
            <a:t>Insertion</a:t>
          </a:r>
          <a:r>
            <a:rPr lang="fr-FR" sz="1100" baseline="0"/>
            <a:t>  </a:t>
          </a:r>
          <a:r>
            <a:rPr lang="fr-FR" sz="1100"/>
            <a:t>Logo Institution</a:t>
          </a:r>
        </a:p>
      </xdr:txBody>
    </xdr:sp>
    <xdr:clientData/>
  </xdr:twoCellAnchor>
  <xdr:twoCellAnchor>
    <xdr:from>
      <xdr:col>6</xdr:col>
      <xdr:colOff>200025</xdr:colOff>
      <xdr:row>13</xdr:row>
      <xdr:rowOff>133351</xdr:rowOff>
    </xdr:from>
    <xdr:to>
      <xdr:col>6</xdr:col>
      <xdr:colOff>1400174</xdr:colOff>
      <xdr:row>15</xdr:row>
      <xdr:rowOff>1</xdr:rowOff>
    </xdr:to>
    <xdr:sp macro="[0]!SauvegardePDF" textlink="">
      <xdr:nvSpPr>
        <xdr:cNvPr id="29" name="Rectangle à coins arrondi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153025" y="2409826"/>
          <a:ext cx="1200149" cy="24765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Sauvegarde</a:t>
          </a:r>
          <a:r>
            <a:rPr lang="fr-FR" sz="1100" baseline="0"/>
            <a:t> PDF</a:t>
          </a:r>
          <a:endParaRPr lang="fr-FR" sz="1100"/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152401</xdr:colOff>
      <xdr:row>32</xdr:row>
      <xdr:rowOff>66675</xdr:rowOff>
    </xdr:from>
    <xdr:to>
      <xdr:col>6</xdr:col>
      <xdr:colOff>1238251</xdr:colOff>
      <xdr:row>32</xdr:row>
      <xdr:rowOff>314325</xdr:rowOff>
    </xdr:to>
    <xdr:sp macro="[0]!ConfigurationShow" textlink="">
      <xdr:nvSpPr>
        <xdr:cNvPr id="14" name="Rectangle à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05401" y="6248400"/>
          <a:ext cx="1085850" cy="2476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t"/>
          <a:r>
            <a:rPr lang="fr-FR" sz="1100"/>
            <a:t>Configuration</a:t>
          </a:r>
        </a:p>
      </xdr:txBody>
    </xdr:sp>
    <xdr:clientData/>
  </xdr:twoCellAnchor>
  <xdr:twoCellAnchor>
    <xdr:from>
      <xdr:col>6</xdr:col>
      <xdr:colOff>247650</xdr:colOff>
      <xdr:row>2</xdr:row>
      <xdr:rowOff>38100</xdr:rowOff>
    </xdr:from>
    <xdr:to>
      <xdr:col>6</xdr:col>
      <xdr:colOff>1543050</xdr:colOff>
      <xdr:row>5</xdr:row>
      <xdr:rowOff>104775</xdr:rowOff>
    </xdr:to>
    <xdr:sp macro="[0]!SauvegardeAutomatique" textlink="">
      <xdr:nvSpPr>
        <xdr:cNvPr id="18" name="Rectangle à coins arrondi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200650" y="457200"/>
          <a:ext cx="1295400" cy="6667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400" b="1"/>
            <a:t>Fermeture</a:t>
          </a:r>
        </a:p>
        <a:p>
          <a:pPr algn="ctr"/>
          <a:r>
            <a:rPr lang="fr-FR" sz="1400" b="1" baseline="0"/>
            <a:t>automatique</a:t>
          </a:r>
          <a:endParaRPr lang="fr-FR" sz="1400" b="1"/>
        </a:p>
        <a:p>
          <a:pPr algn="l"/>
          <a:endParaRPr lang="fr-FR" sz="1100"/>
        </a:p>
      </xdr:txBody>
    </xdr:sp>
    <xdr:clientData/>
  </xdr:twoCellAnchor>
  <xdr:twoCellAnchor editAs="oneCell">
    <xdr:from>
      <xdr:col>5</xdr:col>
      <xdr:colOff>110836</xdr:colOff>
      <xdr:row>0</xdr:row>
      <xdr:rowOff>38100</xdr:rowOff>
    </xdr:from>
    <xdr:to>
      <xdr:col>6</xdr:col>
      <xdr:colOff>9525</xdr:colOff>
      <xdr:row>2</xdr:row>
      <xdr:rowOff>323952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911" y="38100"/>
          <a:ext cx="1203614" cy="666852"/>
        </a:xfrm>
        <a:prstGeom prst="rect">
          <a:avLst/>
        </a:prstGeom>
      </xdr:spPr>
    </xdr:pic>
    <xdr:clientData/>
  </xdr:twoCellAnchor>
  <xdr:twoCellAnchor editAs="oneCell">
    <xdr:from>
      <xdr:col>0</xdr:col>
      <xdr:colOff>12701</xdr:colOff>
      <xdr:row>0</xdr:row>
      <xdr:rowOff>12701</xdr:rowOff>
    </xdr:from>
    <xdr:to>
      <xdr:col>1</xdr:col>
      <xdr:colOff>512190</xdr:colOff>
      <xdr:row>2</xdr:row>
      <xdr:rowOff>304801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21EF7B5B-02D1-4C50-B885-49DD50B82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701" y="12701"/>
          <a:ext cx="1013839" cy="673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np-mn.fr/reco_riv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43"/>
  <sheetViews>
    <sheetView showGridLines="0" tabSelected="1" zoomScale="145" zoomScaleNormal="145" workbookViewId="0">
      <selection activeCell="F9" sqref="F9"/>
    </sheetView>
  </sheetViews>
  <sheetFormatPr baseColWidth="10" defaultColWidth="9.140625" defaultRowHeight="15" x14ac:dyDescent="0.25"/>
  <cols>
    <col min="1" max="1" width="7.7109375" customWidth="1"/>
    <col min="2" max="2" width="19.7109375" customWidth="1"/>
    <col min="3" max="3" width="5.28515625" customWidth="1"/>
    <col min="4" max="4" width="6.5703125" customWidth="1"/>
    <col min="5" max="5" width="15.42578125" customWidth="1"/>
    <col min="6" max="6" width="19.5703125" customWidth="1"/>
    <col min="7" max="7" width="25.7109375" customWidth="1"/>
    <col min="8" max="986" width="10.7109375" customWidth="1"/>
    <col min="987" max="1028" width="9.140625" customWidth="1"/>
  </cols>
  <sheetData>
    <row r="1" spans="1:7" ht="15" customHeight="1" x14ac:dyDescent="0.25">
      <c r="A1" s="48" t="s">
        <v>97</v>
      </c>
      <c r="B1" s="93" t="s">
        <v>70</v>
      </c>
      <c r="C1" s="93"/>
      <c r="D1" s="93"/>
      <c r="E1" s="93"/>
      <c r="F1" s="92" t="s">
        <v>90</v>
      </c>
      <c r="G1" s="1"/>
    </row>
    <row r="2" spans="1:7" x14ac:dyDescent="0.25">
      <c r="B2" s="93" t="s">
        <v>71</v>
      </c>
      <c r="C2" s="93"/>
      <c r="D2" s="93"/>
      <c r="E2" s="93"/>
      <c r="F2" s="92"/>
      <c r="G2" s="1"/>
    </row>
    <row r="3" spans="1:7" ht="27.75" customHeight="1" x14ac:dyDescent="0.25">
      <c r="B3" s="94" t="s">
        <v>0</v>
      </c>
      <c r="C3" s="94"/>
      <c r="D3" s="94"/>
      <c r="E3" s="89">
        <f ca="1">TODAY()</f>
        <v>45364</v>
      </c>
      <c r="F3" s="89"/>
      <c r="G3" s="1"/>
    </row>
    <row r="4" spans="1:7" ht="9.9499999999999993" customHeight="1" x14ac:dyDescent="0.25">
      <c r="A4" s="74" t="s">
        <v>72</v>
      </c>
      <c r="B4" s="95"/>
      <c r="C4" s="95"/>
      <c r="D4" s="96"/>
      <c r="E4" s="40" t="s">
        <v>76</v>
      </c>
      <c r="F4" s="45"/>
      <c r="G4" s="1"/>
    </row>
    <row r="5" spans="1:7" ht="9.9499999999999993" customHeight="1" x14ac:dyDescent="0.25">
      <c r="A5" s="76" t="s">
        <v>73</v>
      </c>
      <c r="B5" s="97"/>
      <c r="C5" s="97"/>
      <c r="D5" s="98"/>
      <c r="E5" s="49" t="s">
        <v>75</v>
      </c>
      <c r="F5" s="50" t="s">
        <v>98</v>
      </c>
      <c r="G5" s="1"/>
    </row>
    <row r="6" spans="1:7" ht="9.9499999999999993" customHeight="1" x14ac:dyDescent="0.25">
      <c r="A6" s="75" t="s">
        <v>74</v>
      </c>
      <c r="B6" s="60"/>
      <c r="C6" s="61"/>
      <c r="D6" s="62"/>
      <c r="E6" s="68" t="s">
        <v>77</v>
      </c>
      <c r="F6" s="69" t="s">
        <v>99</v>
      </c>
      <c r="G6" s="1"/>
    </row>
    <row r="7" spans="1:7" ht="9.9499999999999993" customHeight="1" x14ac:dyDescent="0.25">
      <c r="A7" s="2"/>
      <c r="B7" s="2"/>
      <c r="C7" s="2"/>
      <c r="D7" s="2"/>
      <c r="E7" s="2"/>
      <c r="F7" s="2"/>
      <c r="G7" s="1"/>
    </row>
    <row r="8" spans="1:7" x14ac:dyDescent="0.25">
      <c r="A8" s="105" t="s">
        <v>1</v>
      </c>
      <c r="B8" s="105"/>
      <c r="C8" s="105"/>
      <c r="D8" s="105"/>
      <c r="E8" s="105"/>
      <c r="F8" s="105"/>
      <c r="G8" s="1"/>
    </row>
    <row r="9" spans="1:7" x14ac:dyDescent="0.25">
      <c r="A9" s="3" t="s">
        <v>101</v>
      </c>
      <c r="B9" s="4"/>
      <c r="C9" s="4"/>
      <c r="D9" s="4" t="str">
        <f>IF(F9="Iode-131-0%-fixation",Radiopharmaceutiques!E2,IF(F9="Iode-131-5%-fixation",Radiopharmaceutiques!E3, IF(F9="Iode-131-25%-fixation",Radiopharmaceutiques!E4,IF(F9="Iode-131-45%-fixation",Radiopharmaceutiques!E5,""))))</f>
        <v/>
      </c>
      <c r="E9" s="4"/>
      <c r="F9" s="43" t="s">
        <v>60</v>
      </c>
      <c r="G9" s="1"/>
    </row>
    <row r="10" spans="1:7" x14ac:dyDescent="0.25">
      <c r="A10" s="3" t="s">
        <v>3</v>
      </c>
      <c r="B10" s="4"/>
      <c r="C10" s="4"/>
      <c r="D10" s="4"/>
      <c r="E10" s="4"/>
      <c r="F10" s="46" t="str">
        <f>IF(F9="Iode-131-Bénin","X","")</f>
        <v/>
      </c>
      <c r="G10" s="1"/>
    </row>
    <row r="11" spans="1:7" x14ac:dyDescent="0.25">
      <c r="A11" s="5" t="s">
        <v>102</v>
      </c>
      <c r="B11" s="6"/>
      <c r="C11" s="6"/>
      <c r="D11" s="6"/>
      <c r="E11" s="6"/>
      <c r="F11" s="47"/>
      <c r="G11" s="1"/>
    </row>
    <row r="12" spans="1:7" ht="3" customHeight="1" thickBot="1" x14ac:dyDescent="0.3">
      <c r="A12" s="7"/>
      <c r="B12" s="7"/>
      <c r="C12" s="7"/>
      <c r="D12" s="7"/>
      <c r="E12" s="7"/>
      <c r="F12" s="7" t="str">
        <f>IF(F9="Iode-131-Bénin",2.2*E19*(E20/100)/37,F10)</f>
        <v/>
      </c>
      <c r="G12" s="1"/>
    </row>
    <row r="13" spans="1:7" x14ac:dyDescent="0.25">
      <c r="A13" s="86" t="s">
        <v>4</v>
      </c>
      <c r="B13" s="87"/>
      <c r="C13" s="87"/>
      <c r="D13" s="87"/>
      <c r="E13" s="87"/>
      <c r="F13" s="88"/>
      <c r="G13" s="1"/>
    </row>
    <row r="14" spans="1:7" x14ac:dyDescent="0.25">
      <c r="A14" s="39" t="str">
        <f>IF(F9="Non défini", "Période effective (j) (obligatoire à renseigner dans ce cas)","Période effective (j) imposée par l'utilisateur (laisser vide sinon)")</f>
        <v>Période effective (j) (obligatoire à renseigner dans ce cas)</v>
      </c>
      <c r="B14" s="4"/>
      <c r="C14" s="4"/>
      <c r="D14" s="4"/>
      <c r="E14" s="4"/>
      <c r="F14" s="38"/>
      <c r="G14" s="1"/>
    </row>
    <row r="15" spans="1:7" x14ac:dyDescent="0.25">
      <c r="A15" s="35" t="s">
        <v>5</v>
      </c>
      <c r="B15" s="36"/>
      <c r="C15" s="36"/>
      <c r="D15" s="36"/>
      <c r="E15" s="36" t="s">
        <v>6</v>
      </c>
      <c r="F15" s="37" t="s">
        <v>7</v>
      </c>
    </row>
    <row r="16" spans="1:7" x14ac:dyDescent="0.25">
      <c r="A16" s="99" t="s">
        <v>8</v>
      </c>
      <c r="B16" s="100"/>
      <c r="C16" s="100"/>
      <c r="D16" s="100"/>
      <c r="E16" s="8"/>
      <c r="F16" s="38"/>
    </row>
    <row r="17" spans="1:7" x14ac:dyDescent="0.25">
      <c r="A17" s="101" t="s">
        <v>69</v>
      </c>
      <c r="B17" s="102"/>
      <c r="C17" s="102"/>
      <c r="D17" s="102"/>
      <c r="E17" s="8"/>
      <c r="F17" s="9">
        <v>1</v>
      </c>
    </row>
    <row r="18" spans="1:7" ht="15.75" thickBot="1" x14ac:dyDescent="0.3">
      <c r="A18" s="103" t="s">
        <v>9</v>
      </c>
      <c r="B18" s="104"/>
      <c r="C18" s="104"/>
      <c r="D18" s="104"/>
      <c r="E18" s="65"/>
      <c r="F18" s="66"/>
    </row>
    <row r="19" spans="1:7" x14ac:dyDescent="0.25">
      <c r="A19" s="81" t="str">
        <f xml:space="preserve"> IF($F$9="Iode-131-Bénin", "Dysthyroïdie - Activité administrée (MBq)",".")</f>
        <v>.</v>
      </c>
      <c r="B19" s="81"/>
      <c r="C19" s="81"/>
      <c r="D19" s="81"/>
      <c r="E19" s="78" t="str">
        <f xml:space="preserve"> IF($F$9="Iode-131-Bénin", 0,".")</f>
        <v>.</v>
      </c>
      <c r="F19" s="77" t="str">
        <f>IF(F9="Non défini",IF(F14="","Erreur"))</f>
        <v>Erreur</v>
      </c>
      <c r="G19" s="1"/>
    </row>
    <row r="20" spans="1:7" x14ac:dyDescent="0.25">
      <c r="A20" s="81" t="str">
        <f>IF($F$9="Iode-131-Bénin","Dysthyroïdie - Taux de fixation (%)",".")</f>
        <v>.</v>
      </c>
      <c r="B20" s="81"/>
      <c r="C20" s="81"/>
      <c r="D20" s="81"/>
      <c r="E20" s="78" t="str">
        <f xml:space="preserve"> IF($F$9="Iode-131-Bénin", 0,".")</f>
        <v>.</v>
      </c>
      <c r="F20" s="67"/>
      <c r="G20" s="1"/>
    </row>
    <row r="21" spans="1:7" ht="15.75" customHeight="1" x14ac:dyDescent="0.25">
      <c r="A21" s="10"/>
      <c r="B21" s="10"/>
      <c r="C21" s="10"/>
      <c r="D21" s="10"/>
      <c r="E21" s="11"/>
      <c r="F21" s="12"/>
    </row>
    <row r="22" spans="1:7" x14ac:dyDescent="0.25">
      <c r="A22" s="13"/>
      <c r="B22" s="13"/>
      <c r="C22" s="13"/>
      <c r="D22" s="13"/>
      <c r="E22" s="13" t="s">
        <v>10</v>
      </c>
      <c r="F22" s="14" t="str">
        <f>IF(F14="",IF(F9="Non défini","Renseigner la période", (VLOOKUP((F9),(Radiopharmaceutiques!$A$2:$B$15),2,0)/24)), F14)</f>
        <v>Renseigner la période</v>
      </c>
      <c r="G22" s="1"/>
    </row>
    <row r="23" spans="1:7" x14ac:dyDescent="0.25">
      <c r="A23" s="13"/>
      <c r="B23" s="13"/>
      <c r="C23" s="13"/>
      <c r="D23" s="13"/>
      <c r="E23" s="13" t="s">
        <v>11</v>
      </c>
      <c r="F23" s="15" t="str">
        <f>IF(F19="Erreur","",F22*24)</f>
        <v/>
      </c>
      <c r="G23" s="1"/>
    </row>
    <row r="24" spans="1:7" ht="4.5" customHeight="1" thickBot="1" x14ac:dyDescent="0.3">
      <c r="A24" s="16"/>
      <c r="B24" s="16"/>
      <c r="C24" s="16"/>
      <c r="D24" s="16"/>
      <c r="E24" s="16"/>
      <c r="F24" s="16"/>
      <c r="G24" s="1"/>
    </row>
    <row r="25" spans="1:7" ht="25.5" x14ac:dyDescent="0.25">
      <c r="A25" s="17" t="s">
        <v>12</v>
      </c>
      <c r="B25" s="30"/>
      <c r="C25" s="30"/>
      <c r="D25" s="30"/>
      <c r="E25" s="18" t="s">
        <v>13</v>
      </c>
      <c r="F25" s="19" t="s">
        <v>14</v>
      </c>
    </row>
    <row r="26" spans="1:7" ht="25.5" x14ac:dyDescent="0.25">
      <c r="A26" s="20" t="s">
        <v>15</v>
      </c>
      <c r="B26" s="31"/>
      <c r="C26" s="31"/>
      <c r="D26" s="31"/>
      <c r="E26" s="21" t="str">
        <f>IF(AND(F14=0,F19="Erreur"),"",IF(Radiopharmaceutiques!J40&lt;0,0,ROUND(Radiopharmaceutiques!J40,0)))</f>
        <v/>
      </c>
      <c r="F26" s="22" t="s">
        <v>16</v>
      </c>
    </row>
    <row r="27" spans="1:7" ht="25.5" x14ac:dyDescent="0.25">
      <c r="A27" s="23" t="s">
        <v>17</v>
      </c>
      <c r="B27" s="32"/>
      <c r="C27" s="32"/>
      <c r="D27" s="32"/>
      <c r="E27" s="24" t="str">
        <f>IF(AND(F14=0,F19="Erreur"),"",IF(Radiopharmaceutiques!J41&lt;0,0,ROUND(Radiopharmaceutiques!J41,0)))</f>
        <v/>
      </c>
      <c r="F27" s="25" t="s">
        <v>18</v>
      </c>
      <c r="G27" s="73" t="s">
        <v>81</v>
      </c>
    </row>
    <row r="28" spans="1:7" ht="25.5" x14ac:dyDescent="0.25">
      <c r="A28" s="20" t="s">
        <v>19</v>
      </c>
      <c r="B28" s="31"/>
      <c r="C28" s="31"/>
      <c r="D28" s="31"/>
      <c r="E28" s="21" t="str">
        <f>IF(AND(F14=0,F19="Erreur"),"",IF(Radiopharmaceutiques!J42&lt;0,0,ROUND(Radiopharmaceutiques!J42,0)))</f>
        <v/>
      </c>
      <c r="F28" s="22" t="s">
        <v>20</v>
      </c>
    </row>
    <row r="29" spans="1:7" ht="18" x14ac:dyDescent="0.25">
      <c r="A29" s="23" t="s">
        <v>21</v>
      </c>
      <c r="B29" s="32"/>
      <c r="C29" s="32"/>
      <c r="D29" s="32"/>
      <c r="E29" s="24" t="str">
        <f>IF(AND(F14=0,F19="Erreur"),"",IF(Radiopharmaceutiques!J43&lt;0,0,ROUND(Radiopharmaceutiques!J43,0)))</f>
        <v/>
      </c>
      <c r="F29" s="25" t="s">
        <v>22</v>
      </c>
    </row>
    <row r="30" spans="1:7" ht="27.75" customHeight="1" x14ac:dyDescent="0.25">
      <c r="A30" s="82" t="s">
        <v>23</v>
      </c>
      <c r="B30" s="83"/>
      <c r="C30" s="83"/>
      <c r="D30" s="83"/>
      <c r="E30" s="21" t="str">
        <f>IF(AND(F14=0,F19="Erreur"),"",IF(Radiopharmaceutiques!J44&lt;0,0,ROUND(Radiopharmaceutiques!J44,0)))</f>
        <v/>
      </c>
      <c r="F30" s="22" t="s">
        <v>24</v>
      </c>
    </row>
    <row r="31" spans="1:7" ht="25.5" x14ac:dyDescent="0.25">
      <c r="A31" s="90" t="s">
        <v>25</v>
      </c>
      <c r="B31" s="91"/>
      <c r="C31" s="91"/>
      <c r="D31" s="91"/>
      <c r="E31" s="24" t="str">
        <f>IF(AND(F14=0,F19="Erreur"),"",IF(Radiopharmaceutiques!J45&lt;0,0,ROUND(Radiopharmaceutiques!J45,0)))</f>
        <v/>
      </c>
      <c r="F31" s="25" t="s">
        <v>26</v>
      </c>
    </row>
    <row r="32" spans="1:7" ht="18" x14ac:dyDescent="0.25">
      <c r="A32" s="82" t="s">
        <v>27</v>
      </c>
      <c r="B32" s="83"/>
      <c r="C32" s="83"/>
      <c r="D32" s="83"/>
      <c r="E32" s="21" t="str">
        <f>IF(AND(F14=0,F19="Erreur"),"",IF(Radiopharmaceutiques!J46&lt;0,0,ROUND(Radiopharmaceutiques!J46,0)))</f>
        <v/>
      </c>
      <c r="F32" s="22" t="s">
        <v>28</v>
      </c>
    </row>
    <row r="33" spans="1:6" ht="26.25" thickBot="1" x14ac:dyDescent="0.3">
      <c r="A33" s="84" t="s">
        <v>29</v>
      </c>
      <c r="B33" s="85"/>
      <c r="C33" s="85"/>
      <c r="D33" s="85"/>
      <c r="E33" s="33" t="str">
        <f>IF(E17&gt;0, IF(ISERROR(Radiopharmaceutiques!J47),"-", IF(Radiopharmaceutiques!J47&lt;0,0, ROUND(Radiopharmaceutiques!J47,0))),"-")</f>
        <v>-</v>
      </c>
      <c r="F33" s="34" t="str">
        <f>CONCATENATE(E16," h à ",F16," m et ",E17," h à ",F17," m,",CHAR(10)," limite ",E18," mSv")</f>
        <v xml:space="preserve"> h à  m et  h à 1 m,
 limite  mSv</v>
      </c>
    </row>
    <row r="34" spans="1:6" ht="18" x14ac:dyDescent="0.25">
      <c r="A34" s="71" t="s">
        <v>100</v>
      </c>
      <c r="B34" s="41"/>
      <c r="C34" s="41"/>
      <c r="D34" s="41"/>
      <c r="E34" s="42"/>
      <c r="F34" s="44" t="str">
        <f ca="1">CONCATENATE("Heure d'impression : ", HOUR(NOW()), " h ", MINUTE(NOW()))</f>
        <v>Heure d'impression : 13 h 46</v>
      </c>
    </row>
    <row r="36" spans="1:6" x14ac:dyDescent="0.25">
      <c r="A36" t="s">
        <v>86</v>
      </c>
    </row>
    <row r="37" spans="1:6" x14ac:dyDescent="0.25">
      <c r="A37" t="s">
        <v>82</v>
      </c>
      <c r="E37" s="70"/>
    </row>
    <row r="38" spans="1:6" x14ac:dyDescent="0.25">
      <c r="A38" t="s">
        <v>83</v>
      </c>
      <c r="E38" s="70"/>
    </row>
    <row r="39" spans="1:6" x14ac:dyDescent="0.25">
      <c r="A39" t="s">
        <v>84</v>
      </c>
      <c r="E39" s="70"/>
    </row>
    <row r="40" spans="1:6" x14ac:dyDescent="0.25">
      <c r="A40" t="s">
        <v>85</v>
      </c>
      <c r="E40" s="70"/>
    </row>
    <row r="41" spans="1:6" x14ac:dyDescent="0.25">
      <c r="A41" t="s">
        <v>91</v>
      </c>
      <c r="E41" s="70"/>
    </row>
    <row r="43" spans="1:6" ht="48.75" customHeight="1" x14ac:dyDescent="0.25">
      <c r="A43" s="79" t="s">
        <v>96</v>
      </c>
      <c r="B43" s="80"/>
      <c r="C43" s="80"/>
      <c r="D43" s="80"/>
      <c r="E43" s="80"/>
      <c r="F43" s="80"/>
    </row>
  </sheetData>
  <sheetProtection algorithmName="SHA-512" hashValue="jn8PNGRT9MQ3wglJ8aHKlr9aauct3xKv9wtun2w74dL7Imo0XyBqFnu3ncdEUApWSmaA+Il580iI0WJws+RXZA==" saltValue="VDqS3EMFwOIQpv6vsjaP+Q==" spinCount="100000" sheet="1" objects="1" scenarios="1"/>
  <mergeCells count="19">
    <mergeCell ref="A13:F13"/>
    <mergeCell ref="E3:F3"/>
    <mergeCell ref="A30:D30"/>
    <mergeCell ref="A31:D31"/>
    <mergeCell ref="F1:F2"/>
    <mergeCell ref="B1:E1"/>
    <mergeCell ref="B2:E2"/>
    <mergeCell ref="B3:D3"/>
    <mergeCell ref="B4:D4"/>
    <mergeCell ref="B5:D5"/>
    <mergeCell ref="A16:D16"/>
    <mergeCell ref="A17:D17"/>
    <mergeCell ref="A18:D18"/>
    <mergeCell ref="A8:F8"/>
    <mergeCell ref="A43:F43"/>
    <mergeCell ref="A19:D19"/>
    <mergeCell ref="A20:D20"/>
    <mergeCell ref="A32:D32"/>
    <mergeCell ref="A33:D33"/>
  </mergeCells>
  <conditionalFormatting sqref="A19:E20">
    <cfRule type="cellIs" dxfId="1" priority="3" operator="notEqual">
      <formula>"."</formula>
    </cfRule>
  </conditionalFormatting>
  <conditionalFormatting sqref="F10">
    <cfRule type="cellIs" dxfId="0" priority="1" operator="equal">
      <formula>"X"</formula>
    </cfRule>
  </conditionalFormatting>
  <hyperlinks>
    <hyperlink ref="G27" r:id="rId1" xr:uid="{00000000-0004-0000-0000-000000000000}"/>
  </hyperlinks>
  <pageMargins left="0.7" right="0.7" top="0.75" bottom="0.75" header="0.51180555555555496" footer="0.51180555555555496"/>
  <pageSetup paperSize="9" firstPageNumber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Radiopharmaceutiques!$A$2:$A$15</xm:f>
          </x14:formula1>
          <xm:sqref>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M54"/>
  <sheetViews>
    <sheetView zoomScaleNormal="100" workbookViewId="0">
      <selection activeCell="K18" sqref="K18"/>
    </sheetView>
  </sheetViews>
  <sheetFormatPr baseColWidth="10" defaultColWidth="9.140625" defaultRowHeight="15" x14ac:dyDescent="0.25"/>
  <cols>
    <col min="1" max="1" width="20.5703125" customWidth="1"/>
    <col min="2" max="2" width="21.140625" customWidth="1"/>
    <col min="3" max="3" width="108" customWidth="1"/>
    <col min="4" max="4" width="42.85546875" customWidth="1"/>
    <col min="5" max="7" width="10.7109375" customWidth="1"/>
    <col min="8" max="8" width="58.140625" customWidth="1"/>
    <col min="9" max="1025" width="10.7109375" customWidth="1"/>
  </cols>
  <sheetData>
    <row r="1" spans="1:13" x14ac:dyDescent="0.25">
      <c r="A1" s="26" t="s">
        <v>30</v>
      </c>
      <c r="B1" s="26" t="s">
        <v>31</v>
      </c>
      <c r="C1" s="26" t="s">
        <v>32</v>
      </c>
      <c r="D1" s="26" t="s">
        <v>33</v>
      </c>
      <c r="E1" s="26" t="s">
        <v>88</v>
      </c>
    </row>
    <row r="2" spans="1:13" x14ac:dyDescent="0.25">
      <c r="A2" s="27" t="s">
        <v>34</v>
      </c>
      <c r="B2" s="28">
        <v>16</v>
      </c>
      <c r="C2" s="26" t="s">
        <v>95</v>
      </c>
      <c r="D2" s="26"/>
      <c r="E2" t="s">
        <v>78</v>
      </c>
    </row>
    <row r="3" spans="1:13" x14ac:dyDescent="0.25">
      <c r="A3" s="27" t="s">
        <v>35</v>
      </c>
      <c r="B3" s="28">
        <v>16</v>
      </c>
      <c r="C3" s="26" t="s">
        <v>95</v>
      </c>
      <c r="D3" s="26" t="s">
        <v>36</v>
      </c>
      <c r="E3" t="s">
        <v>80</v>
      </c>
    </row>
    <row r="4" spans="1:13" x14ac:dyDescent="0.25">
      <c r="A4" s="27" t="s">
        <v>37</v>
      </c>
      <c r="B4" s="28">
        <v>16</v>
      </c>
      <c r="C4" s="26" t="s">
        <v>95</v>
      </c>
      <c r="D4" s="26" t="s">
        <v>36</v>
      </c>
      <c r="E4" t="s">
        <v>79</v>
      </c>
      <c r="G4" s="56"/>
      <c r="H4" s="64"/>
      <c r="I4" s="64"/>
      <c r="J4" s="64"/>
      <c r="K4" s="64"/>
      <c r="L4" s="64"/>
      <c r="M4" s="56"/>
    </row>
    <row r="5" spans="1:13" x14ac:dyDescent="0.25">
      <c r="A5" s="27" t="s">
        <v>89</v>
      </c>
      <c r="B5" s="28">
        <v>122.4</v>
      </c>
      <c r="C5" s="26" t="s">
        <v>92</v>
      </c>
      <c r="D5" s="26" t="s">
        <v>36</v>
      </c>
      <c r="E5" t="s">
        <v>87</v>
      </c>
      <c r="G5" s="56"/>
      <c r="H5" s="106"/>
      <c r="I5" s="106"/>
      <c r="J5" s="106"/>
      <c r="K5" s="106"/>
      <c r="L5" s="106"/>
      <c r="M5" s="56"/>
    </row>
    <row r="6" spans="1:13" x14ac:dyDescent="0.25">
      <c r="A6" s="27" t="s">
        <v>38</v>
      </c>
      <c r="B6" s="28">
        <f>11.43*24</f>
        <v>274.32</v>
      </c>
      <c r="C6" s="26"/>
      <c r="D6" s="26" t="s">
        <v>39</v>
      </c>
      <c r="G6" s="56"/>
      <c r="H6" s="63"/>
      <c r="I6" s="63"/>
      <c r="J6" s="63"/>
      <c r="K6" s="63"/>
      <c r="L6" s="63"/>
      <c r="M6" s="56"/>
    </row>
    <row r="7" spans="1:13" x14ac:dyDescent="0.25">
      <c r="A7" s="27" t="s">
        <v>2</v>
      </c>
      <c r="B7" s="28">
        <v>40</v>
      </c>
      <c r="C7" s="29" t="s">
        <v>40</v>
      </c>
      <c r="D7" s="26" t="s">
        <v>41</v>
      </c>
      <c r="G7" s="56"/>
      <c r="H7" s="51" t="s">
        <v>42</v>
      </c>
      <c r="I7" s="51" t="s">
        <v>6</v>
      </c>
      <c r="J7" s="51" t="s">
        <v>7</v>
      </c>
      <c r="K7" s="51" t="s">
        <v>9</v>
      </c>
      <c r="L7" s="53"/>
      <c r="M7" s="56"/>
    </row>
    <row r="8" spans="1:13" x14ac:dyDescent="0.25">
      <c r="A8" s="27" t="s">
        <v>43</v>
      </c>
      <c r="B8" s="28">
        <f>2.67*24</f>
        <v>64.08</v>
      </c>
      <c r="C8" s="26" t="s">
        <v>44</v>
      </c>
      <c r="D8" s="26" t="s">
        <v>39</v>
      </c>
      <c r="G8" s="56"/>
      <c r="H8" s="107" t="s">
        <v>45</v>
      </c>
      <c r="I8" s="52">
        <v>8</v>
      </c>
      <c r="J8" s="52">
        <v>0.3</v>
      </c>
      <c r="K8" s="52">
        <v>15</v>
      </c>
      <c r="L8" s="53" t="s">
        <v>46</v>
      </c>
      <c r="M8" s="56"/>
    </row>
    <row r="9" spans="1:13" x14ac:dyDescent="0.25">
      <c r="A9" s="27" t="s">
        <v>47</v>
      </c>
      <c r="B9" s="28">
        <f>3.7*24</f>
        <v>88.800000000000011</v>
      </c>
      <c r="C9" s="26" t="s">
        <v>44</v>
      </c>
      <c r="D9" s="26" t="s">
        <v>39</v>
      </c>
      <c r="G9" s="56"/>
      <c r="H9" s="107"/>
      <c r="I9" s="52">
        <v>3</v>
      </c>
      <c r="J9" s="52">
        <v>1</v>
      </c>
      <c r="K9" s="52">
        <v>3</v>
      </c>
      <c r="L9" s="53" t="s">
        <v>48</v>
      </c>
      <c r="M9" s="56"/>
    </row>
    <row r="10" spans="1:13" x14ac:dyDescent="0.25">
      <c r="A10" s="27" t="s">
        <v>49</v>
      </c>
      <c r="B10" s="28">
        <f>9.4*24</f>
        <v>225.60000000000002</v>
      </c>
      <c r="C10" s="26" t="s">
        <v>44</v>
      </c>
      <c r="D10" s="26" t="s">
        <v>39</v>
      </c>
      <c r="G10" s="56"/>
      <c r="H10" s="56" t="s">
        <v>50</v>
      </c>
      <c r="I10" s="57">
        <v>8</v>
      </c>
      <c r="J10" s="57">
        <v>0.3</v>
      </c>
      <c r="K10" s="57">
        <v>1</v>
      </c>
      <c r="L10" s="53"/>
      <c r="M10" s="56"/>
    </row>
    <row r="11" spans="1:13" x14ac:dyDescent="0.25">
      <c r="A11" s="27" t="s">
        <v>51</v>
      </c>
      <c r="B11" s="28">
        <v>64.2</v>
      </c>
      <c r="C11" s="26" t="s">
        <v>52</v>
      </c>
      <c r="D11" s="26" t="s">
        <v>39</v>
      </c>
      <c r="G11" s="56"/>
      <c r="H11" s="56"/>
      <c r="I11" s="57">
        <v>3</v>
      </c>
      <c r="J11" s="57">
        <v>1</v>
      </c>
      <c r="K11" s="57"/>
      <c r="L11" s="53"/>
      <c r="M11" s="56"/>
    </row>
    <row r="12" spans="1:13" x14ac:dyDescent="0.25">
      <c r="A12" s="27" t="s">
        <v>53</v>
      </c>
      <c r="B12" s="28">
        <f>8.04*24</f>
        <v>192.95999999999998</v>
      </c>
      <c r="C12" s="26" t="s">
        <v>52</v>
      </c>
      <c r="D12" s="26" t="s">
        <v>39</v>
      </c>
      <c r="G12" s="56"/>
      <c r="H12" s="53" t="s">
        <v>21</v>
      </c>
      <c r="I12" s="52">
        <v>3</v>
      </c>
      <c r="J12" s="52">
        <v>0.5</v>
      </c>
      <c r="K12" s="52">
        <v>1</v>
      </c>
      <c r="L12" s="53"/>
      <c r="M12" s="56"/>
    </row>
    <row r="13" spans="1:13" x14ac:dyDescent="0.25">
      <c r="A13" s="27" t="s">
        <v>54</v>
      </c>
      <c r="B13" s="28">
        <v>100</v>
      </c>
      <c r="C13" s="26" t="s">
        <v>55</v>
      </c>
      <c r="D13" s="26" t="s">
        <v>56</v>
      </c>
      <c r="G13" s="56"/>
      <c r="H13" s="58" t="s">
        <v>57</v>
      </c>
      <c r="I13" s="54">
        <v>9</v>
      </c>
      <c r="J13" s="54">
        <v>1</v>
      </c>
      <c r="K13" s="52">
        <v>1</v>
      </c>
      <c r="L13" s="53"/>
      <c r="M13" s="56"/>
    </row>
    <row r="14" spans="1:13" ht="13.9" customHeight="1" x14ac:dyDescent="0.25">
      <c r="A14" s="27" t="s">
        <v>58</v>
      </c>
      <c r="B14" s="28">
        <v>10.6</v>
      </c>
      <c r="C14" s="72" t="s">
        <v>93</v>
      </c>
      <c r="D14" s="26" t="s">
        <v>94</v>
      </c>
      <c r="G14" s="56"/>
      <c r="H14" s="108" t="s">
        <v>59</v>
      </c>
      <c r="I14" s="52">
        <v>2</v>
      </c>
      <c r="J14" s="52">
        <v>0.5</v>
      </c>
      <c r="K14" s="52">
        <v>1</v>
      </c>
      <c r="L14" s="53"/>
      <c r="M14" s="56"/>
    </row>
    <row r="15" spans="1:13" x14ac:dyDescent="0.25">
      <c r="A15" s="27" t="s">
        <v>60</v>
      </c>
      <c r="B15" s="28"/>
      <c r="C15" s="26"/>
      <c r="G15" s="56"/>
      <c r="H15" s="108"/>
      <c r="I15" s="52">
        <v>2</v>
      </c>
      <c r="J15" s="52">
        <v>1</v>
      </c>
      <c r="K15" s="52"/>
      <c r="L15" s="53"/>
      <c r="M15" s="56"/>
    </row>
    <row r="16" spans="1:13" x14ac:dyDescent="0.25">
      <c r="G16" s="56"/>
      <c r="H16" s="59" t="s">
        <v>27</v>
      </c>
      <c r="I16" s="54">
        <v>6</v>
      </c>
      <c r="J16" s="54">
        <v>1</v>
      </c>
      <c r="K16" s="54">
        <v>1</v>
      </c>
      <c r="L16" s="53"/>
      <c r="M16" s="56"/>
    </row>
    <row r="17" spans="7:13" x14ac:dyDescent="0.25">
      <c r="G17" s="56"/>
      <c r="H17" s="53" t="s">
        <v>61</v>
      </c>
      <c r="I17" s="52">
        <f>Présentation!E16</f>
        <v>0</v>
      </c>
      <c r="J17" s="52">
        <f>Présentation!F16</f>
        <v>0</v>
      </c>
      <c r="K17" s="52">
        <f>Présentation!E18</f>
        <v>0</v>
      </c>
      <c r="L17" s="53"/>
      <c r="M17" s="56"/>
    </row>
    <row r="18" spans="7:13" x14ac:dyDescent="0.25">
      <c r="G18" s="56"/>
      <c r="H18" s="53" t="s">
        <v>62</v>
      </c>
      <c r="I18" s="52">
        <f>Présentation!E17</f>
        <v>0</v>
      </c>
      <c r="J18" s="52">
        <f>Présentation!F17</f>
        <v>1</v>
      </c>
      <c r="K18" s="52"/>
      <c r="L18" s="53"/>
      <c r="M18" s="56"/>
    </row>
    <row r="19" spans="7:13" x14ac:dyDescent="0.25">
      <c r="G19" s="56"/>
      <c r="H19" s="53"/>
      <c r="I19" s="53"/>
      <c r="J19" s="53"/>
      <c r="K19" s="53"/>
      <c r="L19" s="53"/>
      <c r="M19" s="56"/>
    </row>
    <row r="20" spans="7:13" x14ac:dyDescent="0.25">
      <c r="G20" s="56"/>
      <c r="H20" s="53"/>
      <c r="I20" s="53"/>
      <c r="J20" s="53"/>
      <c r="K20" s="53"/>
      <c r="L20" s="53"/>
      <c r="M20" s="56"/>
    </row>
    <row r="21" spans="7:13" x14ac:dyDescent="0.25">
      <c r="G21" s="56"/>
      <c r="H21" s="51" t="s">
        <v>63</v>
      </c>
      <c r="I21" s="54" t="e">
        <f>(Présentation!F22*24/LN(2))/(1-EXP(-(LN(2)/Présentation!F22)))</f>
        <v>#VALUE!</v>
      </c>
      <c r="J21" s="53"/>
      <c r="K21" s="53"/>
      <c r="L21" s="53"/>
      <c r="M21" s="56"/>
    </row>
    <row r="22" spans="7:13" x14ac:dyDescent="0.25">
      <c r="G22" s="56"/>
      <c r="H22" s="53"/>
      <c r="I22" s="53"/>
      <c r="J22" s="53"/>
      <c r="K22" s="53"/>
      <c r="L22" s="53"/>
      <c r="M22" s="56"/>
    </row>
    <row r="23" spans="7:13" x14ac:dyDescent="0.25">
      <c r="G23" s="56"/>
      <c r="H23" s="53" t="s">
        <v>64</v>
      </c>
      <c r="I23" s="53" t="s">
        <v>65</v>
      </c>
      <c r="J23" s="53"/>
      <c r="K23" s="53"/>
      <c r="L23" s="53"/>
      <c r="M23" s="56"/>
    </row>
    <row r="24" spans="7:13" x14ac:dyDescent="0.25">
      <c r="G24" s="56"/>
      <c r="H24" s="53"/>
      <c r="I24" s="53"/>
      <c r="J24" s="53"/>
      <c r="K24" s="53"/>
      <c r="L24" s="55"/>
      <c r="M24" s="56"/>
    </row>
    <row r="25" spans="7:13" x14ac:dyDescent="0.25">
      <c r="G25" s="56"/>
      <c r="H25" s="53"/>
      <c r="I25" s="53"/>
      <c r="J25" s="53"/>
      <c r="K25" s="53"/>
      <c r="L25" s="55"/>
      <c r="M25" s="56"/>
    </row>
    <row r="26" spans="7:13" x14ac:dyDescent="0.25">
      <c r="G26" s="56"/>
      <c r="H26" s="55" t="e">
        <f>(1-EXP(-((LN(2)/Présentation!$F$22)*(I8/24))))</f>
        <v>#VALUE!</v>
      </c>
      <c r="I26" s="55" t="e">
        <f>ATAN(Présentation!$F$11/(2*J8*100))/(Présentation!$F$11*J8/200)</f>
        <v>#DIV/0!</v>
      </c>
      <c r="J26" s="55"/>
      <c r="K26" s="55"/>
      <c r="L26" s="55"/>
      <c r="M26" s="56"/>
    </row>
    <row r="27" spans="7:13" x14ac:dyDescent="0.25">
      <c r="G27" s="56"/>
      <c r="H27" s="55" t="e">
        <f>(1-EXP(-((LN(2)/Présentation!$F$22)*(I9/24))))</f>
        <v>#VALUE!</v>
      </c>
      <c r="I27" s="55">
        <v>1</v>
      </c>
      <c r="J27" s="55"/>
      <c r="K27" s="55"/>
      <c r="L27" s="55"/>
      <c r="M27" s="56"/>
    </row>
    <row r="28" spans="7:13" x14ac:dyDescent="0.25">
      <c r="G28" s="56"/>
      <c r="H28" s="55" t="e">
        <f>(1-EXP(-((LN(2)/Présentation!$F$22)*(I12/24))))</f>
        <v>#VALUE!</v>
      </c>
      <c r="I28" s="55" t="e">
        <f>ATAN(Présentation!$F$11/(2*J12*100))/(Présentation!$F$11*J12/200)</f>
        <v>#DIV/0!</v>
      </c>
      <c r="J28" s="55"/>
      <c r="K28" s="55"/>
      <c r="L28" s="55"/>
      <c r="M28" s="56"/>
    </row>
    <row r="29" spans="7:13" x14ac:dyDescent="0.25">
      <c r="G29" s="56"/>
      <c r="H29" s="55" t="e">
        <f>(1-EXP(-((LN(2)/Présentation!$F$22)*(I13/24))))</f>
        <v>#VALUE!</v>
      </c>
      <c r="I29" s="55">
        <v>1</v>
      </c>
      <c r="J29" s="55"/>
      <c r="K29" s="55"/>
      <c r="L29" s="55"/>
      <c r="M29" s="56"/>
    </row>
    <row r="30" spans="7:13" x14ac:dyDescent="0.25">
      <c r="G30" s="56"/>
      <c r="H30" s="55" t="e">
        <f>(1-EXP(-((LN(2)/Présentation!$F$22)*(I14/24))))</f>
        <v>#VALUE!</v>
      </c>
      <c r="I30" s="55" t="e">
        <f>ATAN(Présentation!$F$11/(2*J14*100))/(Présentation!$F$11*J14/200)</f>
        <v>#DIV/0!</v>
      </c>
      <c r="J30" s="55"/>
      <c r="K30" s="55"/>
      <c r="L30" s="55"/>
      <c r="M30" s="56"/>
    </row>
    <row r="31" spans="7:13" x14ac:dyDescent="0.25">
      <c r="G31" s="56"/>
      <c r="H31" s="55" t="e">
        <f>(1-EXP(-((LN(2)/Présentation!$F$22)*(I15/24))))</f>
        <v>#VALUE!</v>
      </c>
      <c r="I31" s="55">
        <v>1</v>
      </c>
      <c r="J31" s="55"/>
      <c r="K31" s="55"/>
      <c r="L31" s="55"/>
      <c r="M31" s="56"/>
    </row>
    <row r="32" spans="7:13" x14ac:dyDescent="0.25">
      <c r="G32" s="56"/>
      <c r="H32" s="55" t="e">
        <f>(1-EXP(-((LN(2)/Présentation!$F$22)*(I16/24))))</f>
        <v>#VALUE!</v>
      </c>
      <c r="I32" s="55" t="e">
        <f>ATAN(Présentation!$F$11/(2*J16*100))/(Présentation!$F$11*J16/200)</f>
        <v>#DIV/0!</v>
      </c>
      <c r="J32" s="55"/>
      <c r="K32" s="55"/>
      <c r="L32" s="55"/>
      <c r="M32" s="56"/>
    </row>
    <row r="33" spans="7:13" x14ac:dyDescent="0.25">
      <c r="G33" s="56"/>
      <c r="H33" s="55" t="e">
        <f>(1-EXP(-((LN(2)/Présentation!$F$22)*(I17/24))))</f>
        <v>#VALUE!</v>
      </c>
      <c r="I33" s="55" t="e">
        <f>ATAN(Présentation!$F$11/(2*J17*100))/(Présentation!$F$11*J17/200)</f>
        <v>#DIV/0!</v>
      </c>
      <c r="J33" s="55"/>
      <c r="K33" s="55"/>
      <c r="L33" s="55"/>
      <c r="M33" s="56"/>
    </row>
    <row r="34" spans="7:13" x14ac:dyDescent="0.25">
      <c r="G34" s="56"/>
      <c r="H34" s="55" t="e">
        <f>(1-EXP(-((LN(2)/Présentation!$F$22)*(I18/24))))</f>
        <v>#VALUE!</v>
      </c>
      <c r="I34" s="55">
        <v>1</v>
      </c>
      <c r="J34" s="55"/>
      <c r="K34" s="55"/>
      <c r="L34" s="55"/>
      <c r="M34" s="56"/>
    </row>
    <row r="35" spans="7:13" x14ac:dyDescent="0.25">
      <c r="G35" s="56"/>
      <c r="H35" s="55"/>
      <c r="I35" s="55"/>
      <c r="J35" s="55"/>
      <c r="K35" s="55"/>
      <c r="L35" s="55"/>
      <c r="M35" s="56"/>
    </row>
    <row r="36" spans="7:13" x14ac:dyDescent="0.25">
      <c r="G36" s="56"/>
      <c r="H36" s="55"/>
      <c r="I36" s="55"/>
      <c r="J36" s="55"/>
      <c r="K36" s="55"/>
      <c r="L36" s="55"/>
      <c r="M36" s="56"/>
    </row>
    <row r="37" spans="7:13" x14ac:dyDescent="0.25">
      <c r="G37" s="56"/>
      <c r="H37" s="55"/>
      <c r="I37" s="55"/>
      <c r="J37" s="55"/>
      <c r="K37" s="55"/>
      <c r="L37" s="55"/>
      <c r="M37" s="56"/>
    </row>
    <row r="38" spans="7:13" x14ac:dyDescent="0.25">
      <c r="G38" s="56"/>
      <c r="H38" s="55"/>
      <c r="I38" s="55"/>
      <c r="J38" s="55"/>
      <c r="K38" s="55"/>
      <c r="L38" s="55"/>
      <c r="M38" s="56"/>
    </row>
    <row r="39" spans="7:13" x14ac:dyDescent="0.25">
      <c r="G39" s="56"/>
      <c r="H39" s="55" t="s">
        <v>66</v>
      </c>
      <c r="I39" s="55" t="s">
        <v>67</v>
      </c>
      <c r="J39" s="55" t="s">
        <v>68</v>
      </c>
      <c r="K39" s="55"/>
      <c r="L39" s="55"/>
      <c r="M39" s="56"/>
    </row>
    <row r="40" spans="7:13" x14ac:dyDescent="0.25">
      <c r="G40" s="56"/>
      <c r="H40" s="55" t="e">
        <f>(H26*I26+H27*I27)*$I$21</f>
        <v>#VALUE!</v>
      </c>
      <c r="I40" s="55" t="e">
        <f>K8*1000/H40</f>
        <v>#VALUE!</v>
      </c>
      <c r="J40" s="55" t="e">
        <f>-(Présentation!$F$22/LN(2))*LN(I40/Présentation!$F$12)</f>
        <v>#VALUE!</v>
      </c>
      <c r="K40" s="55"/>
      <c r="L40" s="55"/>
      <c r="M40" s="56"/>
    </row>
    <row r="41" spans="7:13" x14ac:dyDescent="0.25">
      <c r="G41" s="56"/>
      <c r="H41" s="55"/>
      <c r="I41" s="55" t="e">
        <f>K9*1000/H40</f>
        <v>#VALUE!</v>
      </c>
      <c r="J41" s="55" t="e">
        <f>-(Présentation!$F$22/LN(2))*LN(I41/Présentation!$F$12)</f>
        <v>#VALUE!</v>
      </c>
      <c r="K41" s="55"/>
      <c r="L41" s="55"/>
      <c r="M41" s="56"/>
    </row>
    <row r="42" spans="7:13" x14ac:dyDescent="0.25">
      <c r="G42" s="56"/>
      <c r="H42" s="56"/>
      <c r="I42" s="56" t="e">
        <f>K10*1000/H40</f>
        <v>#VALUE!</v>
      </c>
      <c r="J42" s="56" t="e">
        <f>-(Présentation!$F$22/LN(2))*LN(I42/Présentation!$F$12)</f>
        <v>#VALUE!</v>
      </c>
      <c r="K42" s="55"/>
      <c r="L42" s="55"/>
      <c r="M42" s="56"/>
    </row>
    <row r="43" spans="7:13" x14ac:dyDescent="0.25">
      <c r="G43" s="56"/>
      <c r="H43" s="55" t="e">
        <f>(H28*I28)*$I$21</f>
        <v>#VALUE!</v>
      </c>
      <c r="I43" s="55" t="e">
        <f>K12*1000/H43</f>
        <v>#VALUE!</v>
      </c>
      <c r="J43" s="55" t="e">
        <f>-(Présentation!$F$22/LN(2))*LN(I43/Présentation!$F$12)</f>
        <v>#VALUE!</v>
      </c>
      <c r="K43" s="55"/>
      <c r="L43" s="55"/>
      <c r="M43" s="56"/>
    </row>
    <row r="44" spans="7:13" x14ac:dyDescent="0.25">
      <c r="G44" s="56"/>
      <c r="H44" s="55" t="e">
        <f>(H29*I29)*$I$21</f>
        <v>#VALUE!</v>
      </c>
      <c r="I44" s="55" t="e">
        <f>K13*1000/H44</f>
        <v>#VALUE!</v>
      </c>
      <c r="J44" s="55" t="e">
        <f>-(Présentation!$F$22/LN(2))*LN(I44/Présentation!$F$12)</f>
        <v>#VALUE!</v>
      </c>
      <c r="K44" s="55"/>
      <c r="L44" s="55"/>
      <c r="M44" s="56"/>
    </row>
    <row r="45" spans="7:13" x14ac:dyDescent="0.25">
      <c r="G45" s="56"/>
      <c r="H45" s="55" t="e">
        <f>(H30*I30+H31*I31)*$I$21</f>
        <v>#VALUE!</v>
      </c>
      <c r="I45" s="55" t="e">
        <f>K14*1000/H45</f>
        <v>#VALUE!</v>
      </c>
      <c r="J45" s="55" t="e">
        <f>-(Présentation!$F$22/LN(2))*LN(I45/Présentation!$F$12)</f>
        <v>#VALUE!</v>
      </c>
      <c r="K45" s="55"/>
      <c r="L45" s="56"/>
      <c r="M45" s="56"/>
    </row>
    <row r="46" spans="7:13" x14ac:dyDescent="0.25">
      <c r="G46" s="56"/>
      <c r="H46" s="56" t="e">
        <f>(H32*I32)*$I$21</f>
        <v>#VALUE!</v>
      </c>
      <c r="I46" s="56" t="e">
        <f>K16*1000/H46</f>
        <v>#VALUE!</v>
      </c>
      <c r="J46" s="56" t="e">
        <f>-(Présentation!$F$22/LN(2))*LN(I46/Présentation!$F$12)</f>
        <v>#VALUE!</v>
      </c>
      <c r="K46" s="55"/>
      <c r="L46" s="56"/>
      <c r="M46" s="56"/>
    </row>
    <row r="47" spans="7:13" x14ac:dyDescent="0.25">
      <c r="G47" s="56"/>
      <c r="H47" s="55" t="e">
        <f>(H33*I33+H34*I34)*$I$21</f>
        <v>#VALUE!</v>
      </c>
      <c r="I47" s="55" t="e">
        <f>K17*1000/H47</f>
        <v>#VALUE!</v>
      </c>
      <c r="J47" s="55" t="e">
        <f>IF(H47&gt;0,-(Présentation!$F$22/LN(2))*LN(I47/Présentation!$F$12),"")</f>
        <v>#VALUE!</v>
      </c>
      <c r="K47" s="56"/>
      <c r="L47" s="56"/>
      <c r="M47" s="56"/>
    </row>
    <row r="48" spans="7:13" x14ac:dyDescent="0.25">
      <c r="G48" s="56"/>
      <c r="H48" s="56"/>
      <c r="I48" s="56"/>
      <c r="J48" s="56"/>
      <c r="K48" s="56"/>
      <c r="L48" s="56"/>
      <c r="M48" s="56"/>
    </row>
    <row r="49" spans="7:13" x14ac:dyDescent="0.25">
      <c r="G49" s="56"/>
      <c r="H49" s="56"/>
      <c r="I49" s="56"/>
      <c r="J49" s="56"/>
      <c r="K49" s="56"/>
      <c r="L49" s="56"/>
      <c r="M49" s="56"/>
    </row>
    <row r="50" spans="7:13" x14ac:dyDescent="0.25">
      <c r="G50" s="56"/>
      <c r="H50" s="56"/>
      <c r="I50" s="56"/>
      <c r="J50" s="56"/>
      <c r="K50" s="56"/>
      <c r="L50" s="56"/>
      <c r="M50" s="56"/>
    </row>
    <row r="51" spans="7:13" x14ac:dyDescent="0.25">
      <c r="G51" s="56"/>
      <c r="H51" s="56"/>
      <c r="I51" s="56"/>
      <c r="J51" s="56"/>
      <c r="K51" s="56"/>
      <c r="L51" s="56"/>
      <c r="M51" s="56"/>
    </row>
    <row r="52" spans="7:13" x14ac:dyDescent="0.25">
      <c r="G52" s="56"/>
      <c r="H52" s="56"/>
      <c r="I52" s="56"/>
      <c r="J52" s="56"/>
      <c r="K52" s="56"/>
      <c r="L52" s="56"/>
      <c r="M52" s="56"/>
    </row>
    <row r="53" spans="7:13" x14ac:dyDescent="0.25">
      <c r="G53" s="56"/>
      <c r="H53" s="56"/>
      <c r="I53" s="56"/>
      <c r="J53" s="56"/>
      <c r="K53" s="56"/>
      <c r="L53" s="56"/>
      <c r="M53" s="56"/>
    </row>
    <row r="54" spans="7:13" x14ac:dyDescent="0.25">
      <c r="G54" s="56"/>
      <c r="H54" s="56"/>
      <c r="I54" s="56"/>
      <c r="J54" s="56"/>
      <c r="K54" s="56"/>
      <c r="L54" s="56"/>
      <c r="M54" s="56"/>
    </row>
  </sheetData>
  <sheetProtection algorithmName="SHA-512" hashValue="vtf4vHeMDwnTOPB7C0pNuCuAUU0XMVt9LAbaQZSEnRtl2b0K+7YoIyAnBP76EneYCRtuAtJsgdN0gd1gJ6rdxA==" saltValue="acB4wkPYkI4I/8nzL/uU8g==" spinCount="100000" sheet="1" objects="1" scenarios="1" selectLockedCells="1" selectUnlockedCells="1"/>
  <mergeCells count="3">
    <mergeCell ref="H5:L5"/>
    <mergeCell ref="H8:H9"/>
    <mergeCell ref="H14:H15"/>
  </mergeCells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395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Présentation</vt:lpstr>
      <vt:lpstr>Radiopharmaceutiques</vt:lpstr>
      <vt:lpstr>Nom</vt:lpstr>
      <vt:lpstr>Présentation!Zone_d_impression</vt:lpstr>
    </vt:vector>
  </TitlesOfParts>
  <Company>CHU de NANTES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de durée d'éviction après radiothérapie moléculaire</dc:title>
  <dc:creator>CARLIER Thomas;DENIZOT Benoit</dc:creator>
  <cp:keywords>Radioprotection patient</cp:keywords>
  <cp:lastModifiedBy>Benoit Denizot</cp:lastModifiedBy>
  <cp:revision>19</cp:revision>
  <cp:lastPrinted>2023-10-19T10:53:16Z</cp:lastPrinted>
  <dcterms:created xsi:type="dcterms:W3CDTF">2017-09-27T09:04:50Z</dcterms:created>
  <dcterms:modified xsi:type="dcterms:W3CDTF">2024-03-13T12:47:29Z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CHU de NANTES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